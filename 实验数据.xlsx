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nspotsRecognition\"/>
    </mc:Choice>
  </mc:AlternateContent>
  <xr:revisionPtr revIDLastSave="0" documentId="13_ncr:1_{F5789BE1-2F71-4AE6-A8A3-2BB246CBA563}" xr6:coauthVersionLast="45" xr6:coauthVersionMax="45" xr10:uidLastSave="{00000000-0000-0000-0000-000000000000}"/>
  <bookViews>
    <workbookView xWindow="-108" yWindow="-108" windowWidth="30936" windowHeight="16896" activeTab="1" xr2:uid="{FD2883F6-D81B-4C4E-8BFE-E8E8487B7D44}"/>
  </bookViews>
  <sheets>
    <sheet name="数据集信息" sheetId="1" r:id="rId1"/>
    <sheet name="实验记录" sheetId="2" r:id="rId2"/>
    <sheet name="Sheet1" sheetId="3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4" l="1"/>
  <c r="D2" i="4" s="1"/>
  <c r="C3" i="4"/>
  <c r="D3" i="4" s="1"/>
  <c r="C4" i="4"/>
  <c r="D4" i="4" s="1"/>
  <c r="C1" i="4"/>
  <c r="D1" i="4" s="1"/>
  <c r="E8" i="1" l="1"/>
  <c r="E7" i="1"/>
  <c r="E6" i="1"/>
  <c r="E9" i="1" s="1"/>
  <c r="D9" i="1"/>
  <c r="C9" i="1"/>
  <c r="D5" i="1" l="1"/>
  <c r="E3" i="1"/>
  <c r="E4" i="1"/>
  <c r="E2" i="1"/>
  <c r="E5" i="1" s="1"/>
  <c r="C5" i="1"/>
</calcChain>
</file>

<file path=xl/sharedStrings.xml><?xml version="1.0" encoding="utf-8"?>
<sst xmlns="http://schemas.openxmlformats.org/spreadsheetml/2006/main" count="341" uniqueCount="99">
  <si>
    <t>alpha</t>
    <phoneticPr fontId="1" type="noConversion"/>
  </si>
  <si>
    <t>beta</t>
    <phoneticPr fontId="1" type="noConversion"/>
  </si>
  <si>
    <t>betax</t>
    <phoneticPr fontId="1" type="noConversion"/>
  </si>
  <si>
    <t>样本数量</t>
    <phoneticPr fontId="1" type="noConversion"/>
  </si>
  <si>
    <t>带有宇宙背景</t>
    <phoneticPr fontId="1" type="noConversion"/>
  </si>
  <si>
    <t>无宇宙背景</t>
    <phoneticPr fontId="1" type="noConversion"/>
  </si>
  <si>
    <t>最大宽度</t>
    <phoneticPr fontId="1" type="noConversion"/>
  </si>
  <si>
    <t>最大高度</t>
    <phoneticPr fontId="1" type="noConversion"/>
  </si>
  <si>
    <t>总计</t>
    <phoneticPr fontId="1" type="noConversion"/>
  </si>
  <si>
    <t>最大值</t>
    <phoneticPr fontId="1" type="noConversion"/>
  </si>
  <si>
    <t>最小值</t>
    <phoneticPr fontId="1" type="noConversion"/>
  </si>
  <si>
    <t>ResNet14</t>
    <phoneticPr fontId="1" type="noConversion"/>
  </si>
  <si>
    <t>Model</t>
    <phoneticPr fontId="1" type="noConversion"/>
  </si>
  <si>
    <t>Architecture</t>
    <phoneticPr fontId="1" type="noConversion"/>
  </si>
  <si>
    <t>Pooling</t>
    <phoneticPr fontId="1" type="noConversion"/>
  </si>
  <si>
    <t>Valid Acc</t>
    <phoneticPr fontId="1" type="noConversion"/>
  </si>
  <si>
    <t>ID</t>
    <phoneticPr fontId="1" type="noConversion"/>
  </si>
  <si>
    <t>Data Strategy</t>
  </si>
  <si>
    <t>Train Acc</t>
    <phoneticPr fontId="1" type="noConversion"/>
  </si>
  <si>
    <t>Dataset</t>
    <phoneticPr fontId="1" type="noConversion"/>
  </si>
  <si>
    <t>Continuum</t>
    <phoneticPr fontId="1" type="noConversion"/>
  </si>
  <si>
    <t>Center Crop+Random Flip</t>
    <phoneticPr fontId="1" type="noConversion"/>
  </si>
  <si>
    <t>0001</t>
    <phoneticPr fontId="1" type="noConversion"/>
  </si>
  <si>
    <t>0002</t>
    <phoneticPr fontId="1" type="noConversion"/>
  </si>
  <si>
    <t>0003</t>
    <phoneticPr fontId="1" type="noConversion"/>
  </si>
  <si>
    <t>Continuum+Magnetogram</t>
    <phoneticPr fontId="1" type="noConversion"/>
  </si>
  <si>
    <t>0004</t>
    <phoneticPr fontId="1" type="noConversion"/>
  </si>
  <si>
    <t>类型</t>
    <phoneticPr fontId="1" type="noConversion"/>
  </si>
  <si>
    <t>数据集</t>
    <phoneticPr fontId="1" type="noConversion"/>
  </si>
  <si>
    <t>Magnetogram</t>
    <phoneticPr fontId="1" type="noConversion"/>
  </si>
  <si>
    <t>0005</t>
    <phoneticPr fontId="1" type="noConversion"/>
  </si>
  <si>
    <t>Optimizer</t>
  </si>
  <si>
    <t>Adam</t>
    <phoneticPr fontId="1" type="noConversion"/>
  </si>
  <si>
    <t>Adam+SGD</t>
    <phoneticPr fontId="1" type="noConversion"/>
  </si>
  <si>
    <t>Global Max Pooling</t>
    <phoneticPr fontId="1" type="noConversion"/>
  </si>
  <si>
    <t>0006</t>
    <phoneticPr fontId="1" type="noConversion"/>
  </si>
  <si>
    <t>-</t>
    <phoneticPr fontId="1" type="noConversion"/>
  </si>
  <si>
    <t>1-8-16-32-64-128</t>
    <phoneticPr fontId="1" type="noConversion"/>
  </si>
  <si>
    <t>1-16-32-64-128-256</t>
    <phoneticPr fontId="1" type="noConversion"/>
  </si>
  <si>
    <t>2-16-32-64-128-256</t>
    <phoneticPr fontId="1" type="noConversion"/>
  </si>
  <si>
    <t>2-32-64-128-256-512</t>
    <phoneticPr fontId="1" type="noConversion"/>
  </si>
  <si>
    <t>accuracy</t>
  </si>
  <si>
    <t>1-16-32-64-128-256 * 2</t>
    <phoneticPr fontId="1" type="noConversion"/>
  </si>
  <si>
    <t>Image</t>
    <phoneticPr fontId="1" type="noConversion"/>
  </si>
  <si>
    <t>beta f1 score</t>
  </si>
  <si>
    <t>betax f1 score</t>
  </si>
  <si>
    <t>alpha f1 score</t>
  </si>
  <si>
    <t>2+3</t>
    <phoneticPr fontId="1" type="noConversion"/>
  </si>
  <si>
    <t>0007</t>
    <phoneticPr fontId="1" type="noConversion"/>
  </si>
  <si>
    <t>ResNet50</t>
    <phoneticPr fontId="1" type="noConversion"/>
  </si>
  <si>
    <t>0008</t>
    <phoneticPr fontId="1" type="noConversion"/>
  </si>
  <si>
    <t>Center Crop+Random Flip+Over Sample</t>
    <phoneticPr fontId="1" type="noConversion"/>
  </si>
  <si>
    <t>0009</t>
    <phoneticPr fontId="1" type="noConversion"/>
  </si>
  <si>
    <t>Center Crop+Random Flip+Preprocess</t>
    <phoneticPr fontId="1" type="noConversion"/>
  </si>
  <si>
    <t>Note</t>
    <phoneticPr fontId="1" type="noConversion"/>
  </si>
  <si>
    <t>过采样会降低beta F1</t>
    <phoneticPr fontId="1" type="noConversion"/>
  </si>
  <si>
    <t>预处理不能提升准确率</t>
    <phoneticPr fontId="1" type="noConversion"/>
  </si>
  <si>
    <t>增加网络深度无效</t>
    <phoneticPr fontId="1" type="noConversion"/>
  </si>
  <si>
    <t>全局最大池化不行</t>
    <phoneticPr fontId="1" type="noConversion"/>
  </si>
  <si>
    <t>数据融合效果不好</t>
    <phoneticPr fontId="1" type="noConversion"/>
  </si>
  <si>
    <t>增加宽度轻微提升</t>
    <phoneticPr fontId="1" type="noConversion"/>
  </si>
  <si>
    <t>SGD效果好</t>
    <phoneticPr fontId="1" type="noConversion"/>
  </si>
  <si>
    <t>0010</t>
    <phoneticPr fontId="1" type="noConversion"/>
  </si>
  <si>
    <t>ResNet14 * 2</t>
    <phoneticPr fontId="1" type="noConversion"/>
  </si>
  <si>
    <t>双通道比数据融合效果好</t>
    <phoneticPr fontId="1" type="noConversion"/>
  </si>
  <si>
    <t>0011</t>
    <phoneticPr fontId="1" type="noConversion"/>
  </si>
  <si>
    <t>1-16-32-64-128-256 * 2+256fc</t>
    <phoneticPr fontId="1" type="noConversion"/>
  </si>
  <si>
    <t>加全连接无效</t>
    <phoneticPr fontId="1" type="noConversion"/>
  </si>
  <si>
    <t>0012</t>
    <phoneticPr fontId="1" type="noConversion"/>
  </si>
  <si>
    <t>Center Crop+Random Flip+Random Rot</t>
    <phoneticPr fontId="1" type="noConversion"/>
  </si>
  <si>
    <t>随机旋转无效</t>
    <phoneticPr fontId="1" type="noConversion"/>
  </si>
  <si>
    <t>0013</t>
    <phoneticPr fontId="1" type="noConversion"/>
  </si>
  <si>
    <t>Center Crop+Random Flip+Zoom</t>
    <phoneticPr fontId="1" type="noConversion"/>
  </si>
  <si>
    <t>Zoom轻微提升</t>
  </si>
  <si>
    <t>Zoom轻微提升</t>
    <phoneticPr fontId="1" type="noConversion"/>
  </si>
  <si>
    <t>13+3</t>
    <phoneticPr fontId="1" type="noConversion"/>
  </si>
  <si>
    <t>Soft Voting</t>
    <phoneticPr fontId="1" type="noConversion"/>
  </si>
  <si>
    <t>Beta F1</t>
    <phoneticPr fontId="1" type="noConversion"/>
  </si>
  <si>
    <t>Betax F1</t>
    <phoneticPr fontId="1" type="noConversion"/>
  </si>
  <si>
    <t>Alpha F1</t>
    <phoneticPr fontId="1" type="noConversion"/>
  </si>
  <si>
    <t>0014</t>
    <phoneticPr fontId="1" type="noConversion"/>
  </si>
  <si>
    <t>概率融合效果好</t>
    <phoneticPr fontId="1" type="noConversion"/>
  </si>
  <si>
    <t>320轻微提升</t>
    <phoneticPr fontId="1" type="noConversion"/>
  </si>
  <si>
    <t>0015</t>
    <phoneticPr fontId="1" type="noConversion"/>
  </si>
  <si>
    <t>14+15</t>
    <phoneticPr fontId="1" type="noConversion"/>
  </si>
  <si>
    <t>320+Zoom轻微提升</t>
    <phoneticPr fontId="1" type="noConversion"/>
  </si>
  <si>
    <t>320+Zoom提升4个点</t>
    <phoneticPr fontId="1" type="noConversion"/>
  </si>
  <si>
    <t>Global Average Pooling</t>
    <phoneticPr fontId="1" type="noConversion"/>
  </si>
  <si>
    <t>0016</t>
    <phoneticPr fontId="1" type="noConversion"/>
  </si>
  <si>
    <t>ResNeXt14</t>
    <phoneticPr fontId="1" type="noConversion"/>
  </si>
  <si>
    <t>ResNeXt14轻微提升</t>
    <phoneticPr fontId="1" type="noConversion"/>
  </si>
  <si>
    <t>0017</t>
    <phoneticPr fontId="1" type="noConversion"/>
  </si>
  <si>
    <t>标签平滑、转为回归、天文图像处理</t>
    <phoneticPr fontId="1" type="noConversion"/>
  </si>
  <si>
    <t>DPN、ResNeSt</t>
    <phoneticPr fontId="1" type="noConversion"/>
  </si>
  <si>
    <t>16+17</t>
    <phoneticPr fontId="1" type="noConversion"/>
  </si>
  <si>
    <t>没有明显提升</t>
    <phoneticPr fontId="1" type="noConversion"/>
  </si>
  <si>
    <t>换模型效果变差</t>
    <phoneticPr fontId="1" type="noConversion"/>
  </si>
  <si>
    <t>镜像padding再centercrop</t>
    <phoneticPr fontId="1" type="noConversion"/>
  </si>
  <si>
    <t>0018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</si>
</sst>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0"/>
      <color theme="1"/>
      <name val="等线"/>
      <family val="2"/>
      <charset val="134"/>
      <scheme val="minor"/>
    </font>
    <font>
      <sz val="20"/>
      <color theme="1"/>
      <name val="等线"/>
      <family val="3"/>
      <charset val="134"/>
      <scheme val="minor"/>
    </font>
    <font>
      <b/>
      <sz val="20"/>
      <color theme="1"/>
      <name val="等线"/>
      <family val="2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20"/>
      <name val="等线"/>
      <family val="3"/>
      <charset val="134"/>
      <scheme val="minor"/>
    </font>
    <font>
      <sz val="10"/>
      <color theme="1"/>
      <name val="Var(--jp-code-font-family)"/>
      <family val="2"/>
    </font>
    <font>
      <sz val="11"/>
      <color theme="1"/>
      <name val="等线"/>
      <family val="3"/>
      <charset val="134"/>
      <scheme val="minor"/>
    </font>
    <font>
      <sz val="20"/>
      <color theme="4" tint="-0.499984740745262"/>
      <name val="等线"/>
      <family val="3"/>
      <charset val="134"/>
      <scheme val="minor"/>
    </font>
    <font>
      <b/>
      <sz val="20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/>
      <bottom/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176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76" fontId="7" fillId="3" borderId="0" xfId="0" applyNumberFormat="1" applyFont="1" applyFill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49" fontId="11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11" fillId="3" borderId="0" xfId="0" applyNumberFormat="1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176" fontId="11" fillId="3" borderId="0" xfId="0" applyNumberFormat="1" applyFont="1" applyFill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9" fillId="3" borderId="0" xfId="0" applyFont="1" applyFill="1">
      <alignment vertical="center"/>
    </xf>
    <xf numFmtId="0" fontId="12" fillId="3" borderId="0" xfId="0" applyFont="1" applyFill="1">
      <alignment vertical="center"/>
    </xf>
  </cellXfs>
  <cellStyles count="1">
    <cellStyle name="常规" xfId="0" builtinId="0"/>
  </cellStyles>
  <dxfs count="16">
    <dxf>
      <numFmt numFmtId="176" formatCode="0.0000_ "/>
      <alignment horizontal="center" vertical="center" textRotation="0" wrapText="0" indent="0" justifyLastLine="0" shrinkToFit="0" readingOrder="0"/>
    </dxf>
    <dxf>
      <numFmt numFmtId="176" formatCode="0.0000_ "/>
      <alignment horizontal="center" vertical="center" textRotation="0" wrapText="0" indent="0" justifyLastLine="0" shrinkToFit="0" readingOrder="0"/>
    </dxf>
    <dxf>
      <numFmt numFmtId="176" formatCode="0.0000_ "/>
      <alignment horizontal="center" vertical="center" textRotation="0" wrapText="0" indent="0" justifyLastLine="0" shrinkToFit="0" readingOrder="0"/>
    </dxf>
    <dxf>
      <numFmt numFmtId="176" formatCode="0.0000_ "/>
      <alignment horizontal="center" vertical="center" textRotation="0" wrapText="0" indent="0" justifyLastLine="0" shrinkToFit="0" readingOrder="0"/>
    </dxf>
    <dxf>
      <numFmt numFmtId="176" formatCode="0.0000_ "/>
      <alignment horizontal="center" vertical="center" textRotation="0" wrapText="0" indent="0" justifyLastLine="0" shrinkToFit="0" readingOrder="0"/>
    </dxf>
    <dxf>
      <numFmt numFmtId="176" formatCode="0.0000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FEB377-C79F-4B70-B4A4-843E29A59236}" name="表1" displayName="表1" ref="A1:N27" totalsRowShown="0" headerRowDxfId="15" dataDxfId="14">
  <autoFilter ref="A1:N27" xr:uid="{C99BFBC0-C928-4177-AE40-416E97628F67}"/>
  <sortState xmlns:xlrd2="http://schemas.microsoft.com/office/spreadsheetml/2017/richdata2" ref="A2:N27">
    <sortCondition ref="A1:A27"/>
  </sortState>
  <tableColumns count="14">
    <tableColumn id="1" xr3:uid="{1CB02440-5C40-46B1-BD1F-9560F0337212}" name="ID" dataDxfId="13"/>
    <tableColumn id="9" xr3:uid="{A52C51EB-FF62-4F99-ABD4-F7E9F742748B}" name="Dataset" dataDxfId="12"/>
    <tableColumn id="8" xr3:uid="{3A8EBDAE-10EA-4DD0-8D8B-310F4476573E}" name="Image" dataDxfId="11"/>
    <tableColumn id="2" xr3:uid="{8E0936CB-E80A-44BB-8A6C-0FB4F4243008}" name="Data Strategy" dataDxfId="10"/>
    <tableColumn id="3" xr3:uid="{D5830E2B-78A3-4D53-B00C-7C767A38372F}" name="Model" dataDxfId="9"/>
    <tableColumn id="4" xr3:uid="{222C7B3D-0812-48C9-8A3F-9C7DF753FB2F}" name="Architecture" dataDxfId="8"/>
    <tableColumn id="5" xr3:uid="{C500A83B-70BD-41C8-8C03-965FC0BA7680}" name="Pooling" dataDxfId="7"/>
    <tableColumn id="11" xr3:uid="{2735FE1C-7BA0-44DA-95B3-6066A9A0CFE8}" name="Optimizer" dataDxfId="6"/>
    <tableColumn id="6" xr3:uid="{62233452-B367-4C74-8198-3227E6A540F6}" name="Train Acc" dataDxfId="5"/>
    <tableColumn id="7" xr3:uid="{B88D0FE5-D709-462A-B4F7-56AB0EA59A11}" name="Valid Acc" dataDxfId="4"/>
    <tableColumn id="15" xr3:uid="{0E917952-26A5-4EC8-AE9B-4D7675B68E5E}" name="Beta F1" dataDxfId="3"/>
    <tableColumn id="16" xr3:uid="{2168DAE4-2192-40F0-A6B8-794A6F04133C}" name="Betax F1" dataDxfId="2"/>
    <tableColumn id="17" xr3:uid="{E3FB10B3-700B-45E1-9AEF-6E445BD52EA2}" name="Alpha F1" dataDxfId="1"/>
    <tableColumn id="10" xr3:uid="{BD065C81-EC90-4450-9E6A-7714E5147B0D}" name="Note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4DB9-4022-40F7-ACC8-60709BD2ED6A}">
  <dimension ref="A1:I9"/>
  <sheetViews>
    <sheetView workbookViewId="0">
      <selection activeCell="C7" sqref="C7"/>
    </sheetView>
  </sheetViews>
  <sheetFormatPr defaultRowHeight="13.8"/>
  <cols>
    <col min="1" max="1" width="26.5546875" customWidth="1"/>
    <col min="2" max="2" width="20.109375" customWidth="1"/>
    <col min="3" max="3" width="24.44140625" customWidth="1"/>
    <col min="4" max="4" width="26.21875" customWidth="1"/>
    <col min="5" max="5" width="25" customWidth="1"/>
    <col min="6" max="7" width="17.109375" customWidth="1"/>
    <col min="8" max="8" width="18.6640625" customWidth="1"/>
    <col min="9" max="9" width="20.109375" customWidth="1"/>
  </cols>
  <sheetData>
    <row r="1" spans="1:9" ht="25.8" thickBot="1">
      <c r="A1" s="8" t="s">
        <v>28</v>
      </c>
      <c r="B1" s="8" t="s">
        <v>27</v>
      </c>
      <c r="C1" s="8" t="s">
        <v>3</v>
      </c>
      <c r="D1" s="9" t="s">
        <v>4</v>
      </c>
      <c r="E1" s="8" t="s">
        <v>5</v>
      </c>
      <c r="F1" s="8" t="s">
        <v>9</v>
      </c>
      <c r="G1" s="9" t="s">
        <v>10</v>
      </c>
      <c r="H1" s="8" t="s">
        <v>6</v>
      </c>
      <c r="I1" s="8" t="s">
        <v>7</v>
      </c>
    </row>
    <row r="2" spans="1:9" ht="25.2">
      <c r="A2" s="32" t="s">
        <v>20</v>
      </c>
      <c r="B2" s="10" t="s">
        <v>0</v>
      </c>
      <c r="C2" s="11">
        <v>4709</v>
      </c>
      <c r="D2" s="11">
        <v>325</v>
      </c>
      <c r="E2" s="10">
        <f>C2-D2</f>
        <v>4384</v>
      </c>
      <c r="F2" s="11">
        <v>72728</v>
      </c>
      <c r="G2" s="11">
        <v>206</v>
      </c>
      <c r="H2" s="10">
        <v>1094</v>
      </c>
      <c r="I2" s="11">
        <v>730</v>
      </c>
    </row>
    <row r="3" spans="1:9" ht="25.2">
      <c r="A3" s="33"/>
      <c r="B3" s="12" t="s">
        <v>1</v>
      </c>
      <c r="C3" s="13">
        <v>7353</v>
      </c>
      <c r="D3" s="13">
        <v>224</v>
      </c>
      <c r="E3" s="12">
        <f t="shared" ref="E3:E4" si="0">C3-D3</f>
        <v>7129</v>
      </c>
      <c r="F3" s="13">
        <v>73367</v>
      </c>
      <c r="G3" s="13">
        <v>215</v>
      </c>
      <c r="H3" s="12">
        <v>1291</v>
      </c>
      <c r="I3" s="13">
        <v>733</v>
      </c>
    </row>
    <row r="4" spans="1:9" ht="25.2">
      <c r="A4" s="33"/>
      <c r="B4" s="10" t="s">
        <v>2</v>
      </c>
      <c r="C4" s="11">
        <v>2407</v>
      </c>
      <c r="D4" s="11">
        <v>161</v>
      </c>
      <c r="E4" s="10">
        <f t="shared" si="0"/>
        <v>2246</v>
      </c>
      <c r="F4" s="11">
        <v>71456</v>
      </c>
      <c r="G4" s="11">
        <v>206</v>
      </c>
      <c r="H4" s="10">
        <v>1300</v>
      </c>
      <c r="I4" s="11">
        <v>763</v>
      </c>
    </row>
    <row r="5" spans="1:9" ht="25.2">
      <c r="A5" s="34"/>
      <c r="B5" s="12" t="s">
        <v>8</v>
      </c>
      <c r="C5" s="13">
        <f>C2+C3+C4</f>
        <v>14469</v>
      </c>
      <c r="D5" s="13">
        <f>SUM(D2:D4)</f>
        <v>710</v>
      </c>
      <c r="E5" s="12">
        <f>SUM(E2:E4)</f>
        <v>13759</v>
      </c>
      <c r="F5" s="13">
        <v>73367</v>
      </c>
      <c r="G5" s="13">
        <v>206</v>
      </c>
      <c r="H5" s="12">
        <v>1300</v>
      </c>
      <c r="I5" s="13">
        <v>763</v>
      </c>
    </row>
    <row r="6" spans="1:9" ht="25.2">
      <c r="A6" s="32" t="s">
        <v>29</v>
      </c>
      <c r="B6" s="10" t="s">
        <v>0</v>
      </c>
      <c r="C6" s="11">
        <v>4709</v>
      </c>
      <c r="D6" s="11">
        <v>325</v>
      </c>
      <c r="E6" s="10">
        <f>C6-D6</f>
        <v>4384</v>
      </c>
      <c r="F6" s="11">
        <v>4980.8999999999996</v>
      </c>
      <c r="G6" s="11">
        <v>-4980.8999999999996</v>
      </c>
      <c r="H6" s="10">
        <v>1094</v>
      </c>
      <c r="I6" s="11">
        <v>730</v>
      </c>
    </row>
    <row r="7" spans="1:9" ht="25.2">
      <c r="A7" s="33"/>
      <c r="B7" s="12" t="s">
        <v>1</v>
      </c>
      <c r="C7" s="13">
        <v>7353</v>
      </c>
      <c r="D7" s="13">
        <v>224</v>
      </c>
      <c r="E7" s="12">
        <f t="shared" ref="E7:E8" si="1">C7-D7</f>
        <v>7129</v>
      </c>
      <c r="F7" s="13">
        <v>4980.8999999999996</v>
      </c>
      <c r="G7" s="12">
        <v>-4980.8999999999996</v>
      </c>
      <c r="H7" s="12">
        <v>1291</v>
      </c>
      <c r="I7" s="13">
        <v>733</v>
      </c>
    </row>
    <row r="8" spans="1:9" ht="25.2">
      <c r="A8" s="33"/>
      <c r="B8" s="10" t="s">
        <v>2</v>
      </c>
      <c r="C8" s="11">
        <v>2407</v>
      </c>
      <c r="D8" s="11">
        <v>161</v>
      </c>
      <c r="E8" s="10">
        <f t="shared" si="1"/>
        <v>2246</v>
      </c>
      <c r="F8" s="11">
        <v>4980.8999999999996</v>
      </c>
      <c r="G8" s="11">
        <v>-4980.8999999999996</v>
      </c>
      <c r="H8" s="10">
        <v>1300</v>
      </c>
      <c r="I8" s="11">
        <v>763</v>
      </c>
    </row>
    <row r="9" spans="1:9" ht="25.2">
      <c r="A9" s="34"/>
      <c r="B9" s="12" t="s">
        <v>8</v>
      </c>
      <c r="C9" s="13">
        <f>C6+C7+C8</f>
        <v>14469</v>
      </c>
      <c r="D9" s="13">
        <f>SUM(D6:D8)</f>
        <v>710</v>
      </c>
      <c r="E9" s="13">
        <f>SUM(E6:E8)</f>
        <v>13759</v>
      </c>
      <c r="F9" s="13">
        <v>4980.8999999999996</v>
      </c>
      <c r="G9" s="13">
        <v>-4980.8999999999996</v>
      </c>
      <c r="H9" s="12">
        <v>1300</v>
      </c>
      <c r="I9" s="13">
        <v>763</v>
      </c>
    </row>
  </sheetData>
  <mergeCells count="2">
    <mergeCell ref="A2:A5"/>
    <mergeCell ref="A6:A9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1E81-82A9-4B1E-818E-A0189B8440F2}">
  <dimension ref="A1:N27"/>
  <sheetViews>
    <sheetView tabSelected="1" zoomScale="55" zoomScaleNormal="55" workbookViewId="0">
      <selection activeCell="A20" sqref="A20:XFD20"/>
    </sheetView>
  </sheetViews>
  <sheetFormatPr defaultRowHeight="13.8"/>
  <cols>
    <col min="1" max="1" width="13.44140625" customWidth="1"/>
    <col min="2" max="2" width="47.5546875" customWidth="1"/>
    <col min="3" max="3" width="13.6640625" customWidth="1"/>
    <col min="4" max="4" width="67.109375" customWidth="1"/>
    <col min="5" max="5" width="23.6640625" customWidth="1"/>
    <col min="6" max="6" width="53.109375" customWidth="1"/>
    <col min="7" max="7" width="42" customWidth="1"/>
    <col min="8" max="8" width="24.109375" customWidth="1"/>
    <col min="9" max="9" width="18.21875" customWidth="1"/>
    <col min="10" max="10" width="18.5546875" customWidth="1"/>
    <col min="11" max="11" width="18.44140625" customWidth="1"/>
    <col min="12" max="12" width="19" customWidth="1"/>
    <col min="13" max="13" width="20.44140625" customWidth="1"/>
    <col min="14" max="14" width="42.21875" customWidth="1"/>
  </cols>
  <sheetData>
    <row r="1" spans="1:14" ht="30" customHeight="1">
      <c r="A1" s="3" t="s">
        <v>16</v>
      </c>
      <c r="B1" s="3" t="s">
        <v>19</v>
      </c>
      <c r="C1" s="3" t="s">
        <v>43</v>
      </c>
      <c r="D1" s="2" t="s">
        <v>17</v>
      </c>
      <c r="E1" s="2" t="s">
        <v>12</v>
      </c>
      <c r="F1" s="2" t="s">
        <v>13</v>
      </c>
      <c r="G1" s="2" t="s">
        <v>14</v>
      </c>
      <c r="H1" s="2" t="s">
        <v>31</v>
      </c>
      <c r="I1" s="2" t="s">
        <v>18</v>
      </c>
      <c r="J1" s="2" t="s">
        <v>15</v>
      </c>
      <c r="K1" s="2" t="s">
        <v>77</v>
      </c>
      <c r="L1" s="2" t="s">
        <v>78</v>
      </c>
      <c r="M1" s="2" t="s">
        <v>79</v>
      </c>
      <c r="N1" s="2" t="s">
        <v>54</v>
      </c>
    </row>
    <row r="2" spans="1:14" s="18" customFormat="1" ht="30" customHeight="1">
      <c r="A2" s="6" t="s">
        <v>22</v>
      </c>
      <c r="B2" s="2" t="s">
        <v>20</v>
      </c>
      <c r="C2" s="2">
        <v>224</v>
      </c>
      <c r="D2" s="2" t="s">
        <v>21</v>
      </c>
      <c r="E2" s="2" t="s">
        <v>11</v>
      </c>
      <c r="F2" s="2" t="s">
        <v>37</v>
      </c>
      <c r="G2" s="2" t="s">
        <v>87</v>
      </c>
      <c r="H2" s="2" t="s">
        <v>32</v>
      </c>
      <c r="I2" s="4">
        <v>0.89439999999999997</v>
      </c>
      <c r="J2" s="4">
        <v>0.78149999999999997</v>
      </c>
      <c r="K2" s="4">
        <v>0.73199999999999998</v>
      </c>
      <c r="L2" s="4">
        <v>0.76649999999999996</v>
      </c>
      <c r="M2" s="4">
        <v>0.85429999999999995</v>
      </c>
      <c r="N2" s="4"/>
    </row>
    <row r="3" spans="1:14" s="20" customFormat="1" ht="30" customHeight="1">
      <c r="A3" s="6" t="s">
        <v>23</v>
      </c>
      <c r="B3" s="2" t="s">
        <v>20</v>
      </c>
      <c r="C3" s="2">
        <v>224</v>
      </c>
      <c r="D3" s="2" t="s">
        <v>21</v>
      </c>
      <c r="E3" s="2" t="s">
        <v>11</v>
      </c>
      <c r="F3" s="2" t="s">
        <v>38</v>
      </c>
      <c r="G3" s="2" t="s">
        <v>87</v>
      </c>
      <c r="H3" s="2" t="s">
        <v>33</v>
      </c>
      <c r="I3" s="4">
        <v>0.92530000000000001</v>
      </c>
      <c r="J3" s="4">
        <v>0.79379999999999995</v>
      </c>
      <c r="K3" s="4">
        <v>0.7581</v>
      </c>
      <c r="L3" s="4">
        <v>0.75339999999999996</v>
      </c>
      <c r="M3" s="4">
        <v>0.86219999999999997</v>
      </c>
      <c r="N3" s="4" t="s">
        <v>61</v>
      </c>
    </row>
    <row r="4" spans="1:14" s="18" customFormat="1" ht="30" customHeight="1">
      <c r="A4" s="6" t="s">
        <v>23</v>
      </c>
      <c r="B4" s="2" t="s">
        <v>20</v>
      </c>
      <c r="C4" s="2">
        <v>224</v>
      </c>
      <c r="D4" s="2" t="s">
        <v>21</v>
      </c>
      <c r="E4" s="2" t="s">
        <v>11</v>
      </c>
      <c r="F4" s="2" t="s">
        <v>38</v>
      </c>
      <c r="G4" s="2" t="s">
        <v>87</v>
      </c>
      <c r="H4" s="2" t="s">
        <v>32</v>
      </c>
      <c r="I4" s="4">
        <v>0.90910000000000002</v>
      </c>
      <c r="J4" s="4">
        <v>0.78400000000000003</v>
      </c>
      <c r="K4" s="4">
        <v>0.75070000000000003</v>
      </c>
      <c r="L4" s="4">
        <v>0.74460000000000004</v>
      </c>
      <c r="M4" s="4">
        <v>0.85029999999999994</v>
      </c>
      <c r="N4" s="14" t="s">
        <v>60</v>
      </c>
    </row>
    <row r="5" spans="1:14" s="20" customFormat="1" ht="30" customHeight="1">
      <c r="A5" s="6" t="s">
        <v>24</v>
      </c>
      <c r="B5" s="2" t="s">
        <v>29</v>
      </c>
      <c r="C5" s="2">
        <v>224</v>
      </c>
      <c r="D5" s="2" t="s">
        <v>21</v>
      </c>
      <c r="E5" s="2" t="s">
        <v>11</v>
      </c>
      <c r="F5" s="2" t="s">
        <v>38</v>
      </c>
      <c r="G5" s="2" t="s">
        <v>87</v>
      </c>
      <c r="H5" s="2" t="s">
        <v>33</v>
      </c>
      <c r="I5" s="14">
        <v>0.88280000000000003</v>
      </c>
      <c r="J5" s="14">
        <v>0.77390000000000003</v>
      </c>
      <c r="K5" s="4">
        <v>0.74709999999999999</v>
      </c>
      <c r="L5" s="4">
        <v>0.76590000000000003</v>
      </c>
      <c r="M5" s="4">
        <v>0.81499999999999995</v>
      </c>
      <c r="N5" s="4"/>
    </row>
    <row r="6" spans="1:14" s="18" customFormat="1" ht="30" customHeight="1">
      <c r="A6" s="6" t="s">
        <v>26</v>
      </c>
      <c r="B6" s="2" t="s">
        <v>25</v>
      </c>
      <c r="C6" s="2">
        <v>224</v>
      </c>
      <c r="D6" s="2" t="s">
        <v>21</v>
      </c>
      <c r="E6" s="2" t="s">
        <v>11</v>
      </c>
      <c r="F6" s="2" t="s">
        <v>39</v>
      </c>
      <c r="G6" s="2" t="s">
        <v>87</v>
      </c>
      <c r="H6" s="2" t="s">
        <v>33</v>
      </c>
      <c r="I6" s="14">
        <v>0.88429999999999997</v>
      </c>
      <c r="J6" s="14">
        <v>0.78390000000000004</v>
      </c>
      <c r="K6" s="4">
        <v>0.74439999999999995</v>
      </c>
      <c r="L6" s="4">
        <v>0.77129999999999999</v>
      </c>
      <c r="M6" s="4">
        <v>0.84040000000000004</v>
      </c>
      <c r="N6" s="4" t="s">
        <v>59</v>
      </c>
    </row>
    <row r="7" spans="1:14" ht="30" customHeight="1">
      <c r="A7" s="6" t="s">
        <v>30</v>
      </c>
      <c r="B7" s="2" t="s">
        <v>25</v>
      </c>
      <c r="C7" s="2">
        <v>224</v>
      </c>
      <c r="D7" s="2" t="s">
        <v>21</v>
      </c>
      <c r="E7" s="2" t="s">
        <v>11</v>
      </c>
      <c r="F7" s="2" t="s">
        <v>39</v>
      </c>
      <c r="G7" s="2" t="s">
        <v>34</v>
      </c>
      <c r="H7" s="2" t="s">
        <v>33</v>
      </c>
      <c r="I7" s="14">
        <v>0.94350000000000001</v>
      </c>
      <c r="J7" s="14">
        <v>0.76929999999999998</v>
      </c>
      <c r="K7" s="4" t="s">
        <v>36</v>
      </c>
      <c r="L7" s="4" t="s">
        <v>36</v>
      </c>
      <c r="M7" s="4" t="s">
        <v>36</v>
      </c>
      <c r="N7" s="4" t="s">
        <v>58</v>
      </c>
    </row>
    <row r="8" spans="1:14" s="20" customFormat="1" ht="30" customHeight="1">
      <c r="A8" s="6" t="s">
        <v>35</v>
      </c>
      <c r="B8" s="2" t="s">
        <v>25</v>
      </c>
      <c r="C8" s="2">
        <v>224</v>
      </c>
      <c r="D8" s="2" t="s">
        <v>21</v>
      </c>
      <c r="E8" s="2" t="s">
        <v>11</v>
      </c>
      <c r="F8" s="2" t="s">
        <v>40</v>
      </c>
      <c r="G8" s="2" t="s">
        <v>87</v>
      </c>
      <c r="H8" s="2" t="s">
        <v>33</v>
      </c>
      <c r="I8" s="14">
        <v>0.94579999999999997</v>
      </c>
      <c r="J8" s="14">
        <v>0.80200000000000005</v>
      </c>
      <c r="K8" s="14">
        <v>0.76590000000000003</v>
      </c>
      <c r="L8" s="14">
        <v>0.77800000000000002</v>
      </c>
      <c r="M8" s="14">
        <v>0.8619</v>
      </c>
      <c r="N8" s="14" t="s">
        <v>60</v>
      </c>
    </row>
    <row r="9" spans="1:14" s="18" customFormat="1" ht="30" customHeight="1">
      <c r="A9" s="6" t="s">
        <v>48</v>
      </c>
      <c r="B9" s="2" t="s">
        <v>25</v>
      </c>
      <c r="C9" s="2">
        <v>224</v>
      </c>
      <c r="D9" s="2" t="s">
        <v>21</v>
      </c>
      <c r="E9" s="2" t="s">
        <v>49</v>
      </c>
      <c r="F9" s="2" t="s">
        <v>40</v>
      </c>
      <c r="G9" s="2" t="s">
        <v>87</v>
      </c>
      <c r="H9" s="2" t="s">
        <v>33</v>
      </c>
      <c r="I9" s="4">
        <v>0.84730000000000005</v>
      </c>
      <c r="J9" s="4">
        <v>0.80300000000000005</v>
      </c>
      <c r="K9" s="4">
        <v>0.75880000000000003</v>
      </c>
      <c r="L9" s="4">
        <v>0.78359999999999996</v>
      </c>
      <c r="M9" s="4">
        <v>0.86850000000000005</v>
      </c>
      <c r="N9" s="4" t="s">
        <v>57</v>
      </c>
    </row>
    <row r="10" spans="1:14" s="20" customFormat="1" ht="30" customHeight="1">
      <c r="A10" s="6" t="s">
        <v>50</v>
      </c>
      <c r="B10" s="2" t="s">
        <v>20</v>
      </c>
      <c r="C10" s="2">
        <v>224</v>
      </c>
      <c r="D10" s="2" t="s">
        <v>51</v>
      </c>
      <c r="E10" s="2" t="s">
        <v>11</v>
      </c>
      <c r="F10" s="2" t="s">
        <v>38</v>
      </c>
      <c r="G10" s="2" t="s">
        <v>87</v>
      </c>
      <c r="H10" s="2" t="s">
        <v>33</v>
      </c>
      <c r="I10" s="4">
        <v>0.92410000000000003</v>
      </c>
      <c r="J10" s="4">
        <v>0.80349999999999999</v>
      </c>
      <c r="K10" s="4">
        <v>0.73699999999999999</v>
      </c>
      <c r="L10" s="26">
        <v>0.79890000000000005</v>
      </c>
      <c r="M10" s="26">
        <v>0.87380000000000002</v>
      </c>
      <c r="N10" s="14" t="s">
        <v>55</v>
      </c>
    </row>
    <row r="11" spans="1:14" s="20" customFormat="1" ht="30" customHeight="1">
      <c r="A11" s="6" t="s">
        <v>52</v>
      </c>
      <c r="B11" s="2" t="s">
        <v>20</v>
      </c>
      <c r="C11" s="2">
        <v>224</v>
      </c>
      <c r="D11" s="2" t="s">
        <v>53</v>
      </c>
      <c r="E11" s="2" t="s">
        <v>11</v>
      </c>
      <c r="F11" s="2" t="s">
        <v>38</v>
      </c>
      <c r="G11" s="2" t="s">
        <v>87</v>
      </c>
      <c r="H11" s="2" t="s">
        <v>33</v>
      </c>
      <c r="I11" s="4">
        <v>0.94850000000000001</v>
      </c>
      <c r="J11" s="4">
        <v>0.77039999999999997</v>
      </c>
      <c r="K11" s="4">
        <v>0.73070000000000002</v>
      </c>
      <c r="L11" s="4">
        <v>0.74380000000000002</v>
      </c>
      <c r="M11" s="4">
        <v>0.83840000000000003</v>
      </c>
      <c r="N11" s="4" t="s">
        <v>56</v>
      </c>
    </row>
    <row r="12" spans="1:14" ht="30" customHeight="1">
      <c r="A12" s="6" t="s">
        <v>62</v>
      </c>
      <c r="B12" s="2" t="s">
        <v>25</v>
      </c>
      <c r="C12" s="2">
        <v>224</v>
      </c>
      <c r="D12" s="2" t="s">
        <v>21</v>
      </c>
      <c r="E12" s="2" t="s">
        <v>63</v>
      </c>
      <c r="F12" s="2" t="s">
        <v>42</v>
      </c>
      <c r="G12" s="2" t="s">
        <v>87</v>
      </c>
      <c r="H12" s="2" t="s">
        <v>33</v>
      </c>
      <c r="I12" s="4">
        <v>0.92720000000000002</v>
      </c>
      <c r="J12" s="4">
        <v>0.81340000000000001</v>
      </c>
      <c r="K12" s="4">
        <v>0.78149999999999997</v>
      </c>
      <c r="L12" s="4">
        <v>0.80400000000000005</v>
      </c>
      <c r="M12" s="4">
        <v>0.85860000000000003</v>
      </c>
      <c r="N12" s="4" t="s">
        <v>64</v>
      </c>
    </row>
    <row r="13" spans="1:14" ht="30" customHeight="1">
      <c r="A13" s="6" t="s">
        <v>65</v>
      </c>
      <c r="B13" s="2" t="s">
        <v>25</v>
      </c>
      <c r="C13" s="2">
        <v>224</v>
      </c>
      <c r="D13" s="2" t="s">
        <v>21</v>
      </c>
      <c r="E13" s="2" t="s">
        <v>63</v>
      </c>
      <c r="F13" s="2" t="s">
        <v>66</v>
      </c>
      <c r="G13" s="2" t="s">
        <v>87</v>
      </c>
      <c r="H13" s="2" t="s">
        <v>33</v>
      </c>
      <c r="I13" s="4">
        <v>0.92600000000000005</v>
      </c>
      <c r="J13" s="4">
        <v>0.80779999999999996</v>
      </c>
      <c r="K13" s="4">
        <v>0.77749999999999997</v>
      </c>
      <c r="L13" s="4">
        <v>0.80300000000000005</v>
      </c>
      <c r="M13" s="4">
        <v>0.84909999999999997</v>
      </c>
      <c r="N13" s="4" t="s">
        <v>67</v>
      </c>
    </row>
    <row r="14" spans="1:14" ht="30" customHeight="1">
      <c r="A14" s="6" t="s">
        <v>68</v>
      </c>
      <c r="B14" s="2" t="s">
        <v>20</v>
      </c>
      <c r="C14" s="2">
        <v>224</v>
      </c>
      <c r="D14" s="2" t="s">
        <v>69</v>
      </c>
      <c r="E14" s="2" t="s">
        <v>11</v>
      </c>
      <c r="F14" s="2" t="s">
        <v>38</v>
      </c>
      <c r="G14" s="2" t="s">
        <v>87</v>
      </c>
      <c r="H14" s="2" t="s">
        <v>33</v>
      </c>
      <c r="I14" s="4">
        <v>0.88039999999999996</v>
      </c>
      <c r="J14" s="4">
        <v>0.79559999999999997</v>
      </c>
      <c r="K14" s="4">
        <v>0.75290000000000001</v>
      </c>
      <c r="L14" s="4">
        <v>0.74450000000000005</v>
      </c>
      <c r="M14" s="4">
        <v>0.87770000000000004</v>
      </c>
      <c r="N14" s="6" t="s">
        <v>70</v>
      </c>
    </row>
    <row r="15" spans="1:14" s="20" customFormat="1" ht="30" customHeight="1">
      <c r="A15" s="6" t="s">
        <v>71</v>
      </c>
      <c r="B15" s="2" t="s">
        <v>20</v>
      </c>
      <c r="C15" s="2">
        <v>224</v>
      </c>
      <c r="D15" s="2" t="s">
        <v>72</v>
      </c>
      <c r="E15" s="2" t="s">
        <v>11</v>
      </c>
      <c r="F15" s="2" t="s">
        <v>38</v>
      </c>
      <c r="G15" s="2" t="s">
        <v>87</v>
      </c>
      <c r="H15" s="2" t="s">
        <v>33</v>
      </c>
      <c r="I15" s="4">
        <v>0.89300000000000002</v>
      </c>
      <c r="J15" s="4">
        <v>0.81289999999999996</v>
      </c>
      <c r="K15" s="4">
        <v>0.76880000000000004</v>
      </c>
      <c r="L15" s="4">
        <v>0.79979999999999996</v>
      </c>
      <c r="M15" s="4">
        <v>0.87070000000000003</v>
      </c>
      <c r="N15" s="6" t="s">
        <v>74</v>
      </c>
    </row>
    <row r="16" spans="1:14" s="20" customFormat="1" ht="30" customHeight="1">
      <c r="A16" s="6" t="s">
        <v>80</v>
      </c>
      <c r="B16" s="2" t="s">
        <v>20</v>
      </c>
      <c r="C16" s="2">
        <v>320</v>
      </c>
      <c r="D16" s="2" t="s">
        <v>72</v>
      </c>
      <c r="E16" s="2" t="s">
        <v>11</v>
      </c>
      <c r="F16" s="2" t="s">
        <v>38</v>
      </c>
      <c r="G16" s="2" t="s">
        <v>87</v>
      </c>
      <c r="H16" s="2" t="s">
        <v>33</v>
      </c>
      <c r="I16" s="4">
        <v>0.88959999999999995</v>
      </c>
      <c r="J16" s="4">
        <v>0.82150000000000001</v>
      </c>
      <c r="K16" s="4">
        <v>0.7762</v>
      </c>
      <c r="L16" s="4">
        <v>0.80630000000000002</v>
      </c>
      <c r="M16" s="4">
        <v>0.88129999999999997</v>
      </c>
      <c r="N16" s="4" t="s">
        <v>82</v>
      </c>
    </row>
    <row r="17" spans="1:14" s="18" customFormat="1" ht="30" customHeight="1">
      <c r="A17" s="16" t="s">
        <v>83</v>
      </c>
      <c r="B17" s="17" t="s">
        <v>29</v>
      </c>
      <c r="C17" s="17">
        <v>320</v>
      </c>
      <c r="D17" s="17" t="s">
        <v>72</v>
      </c>
      <c r="E17" s="17" t="s">
        <v>11</v>
      </c>
      <c r="F17" s="17" t="s">
        <v>38</v>
      </c>
      <c r="G17" s="17" t="s">
        <v>87</v>
      </c>
      <c r="H17" s="17" t="s">
        <v>33</v>
      </c>
      <c r="I17" s="15">
        <v>0.91769999999999996</v>
      </c>
      <c r="J17" s="15">
        <v>0.80120000000000002</v>
      </c>
      <c r="K17" s="15">
        <v>0.7742</v>
      </c>
      <c r="L17" s="15">
        <v>0.75729999999999997</v>
      </c>
      <c r="M17" s="15">
        <v>0.86370000000000002</v>
      </c>
      <c r="N17" s="15" t="s">
        <v>85</v>
      </c>
    </row>
    <row r="18" spans="1:14" s="18" customFormat="1" ht="30" customHeight="1">
      <c r="A18" s="16" t="s">
        <v>88</v>
      </c>
      <c r="B18" s="17" t="s">
        <v>20</v>
      </c>
      <c r="C18" s="17">
        <v>320</v>
      </c>
      <c r="D18" s="17" t="s">
        <v>72</v>
      </c>
      <c r="E18" s="17" t="s">
        <v>89</v>
      </c>
      <c r="F18" s="17" t="s">
        <v>38</v>
      </c>
      <c r="G18" s="17" t="s">
        <v>87</v>
      </c>
      <c r="H18" s="17" t="s">
        <v>33</v>
      </c>
      <c r="I18" s="15">
        <v>0.91139999999999999</v>
      </c>
      <c r="J18" s="15">
        <v>0.82820000000000005</v>
      </c>
      <c r="K18" s="15">
        <v>0.79139999999999999</v>
      </c>
      <c r="L18" s="15">
        <v>0.78639999999999999</v>
      </c>
      <c r="M18" s="15">
        <v>0.89629999999999999</v>
      </c>
      <c r="N18" s="15" t="s">
        <v>90</v>
      </c>
    </row>
    <row r="19" spans="1:14" s="20" customFormat="1" ht="30" customHeight="1">
      <c r="A19" s="6" t="s">
        <v>91</v>
      </c>
      <c r="B19" s="2" t="s">
        <v>29</v>
      </c>
      <c r="C19" s="2">
        <v>320</v>
      </c>
      <c r="D19" s="2" t="s">
        <v>72</v>
      </c>
      <c r="E19" s="2" t="s">
        <v>89</v>
      </c>
      <c r="F19" s="2" t="s">
        <v>38</v>
      </c>
      <c r="G19" s="2" t="s">
        <v>87</v>
      </c>
      <c r="H19" s="2" t="s">
        <v>33</v>
      </c>
      <c r="I19" s="4">
        <v>0.94820000000000004</v>
      </c>
      <c r="J19" s="4">
        <v>0.78790000000000004</v>
      </c>
      <c r="K19" s="4">
        <v>0.75600000000000001</v>
      </c>
      <c r="L19" s="4">
        <v>0.72499999999999998</v>
      </c>
      <c r="M19" s="4">
        <v>0.86699999999999999</v>
      </c>
      <c r="N19" s="4" t="s">
        <v>96</v>
      </c>
    </row>
    <row r="20" spans="1:14" s="20" customFormat="1" ht="30" customHeight="1">
      <c r="A20" s="6" t="s">
        <v>98</v>
      </c>
      <c r="B20" s="2" t="s">
        <v>20</v>
      </c>
      <c r="C20" s="2">
        <v>320</v>
      </c>
      <c r="D20" s="2" t="s">
        <v>72</v>
      </c>
      <c r="E20" s="2" t="s">
        <v>89</v>
      </c>
      <c r="F20" s="2" t="s">
        <v>38</v>
      </c>
      <c r="G20" s="2" t="s">
        <v>87</v>
      </c>
      <c r="H20" s="2" t="s">
        <v>33</v>
      </c>
      <c r="I20" s="4"/>
      <c r="J20" s="4"/>
      <c r="K20" s="4"/>
      <c r="L20" s="4"/>
      <c r="M20" s="4"/>
      <c r="N20" s="4"/>
    </row>
    <row r="21" spans="1:14" s="35" customFormat="1" ht="30" customHeight="1">
      <c r="A21" s="22" t="s">
        <v>75</v>
      </c>
      <c r="B21" s="23" t="s">
        <v>25</v>
      </c>
      <c r="C21" s="23">
        <v>224</v>
      </c>
      <c r="D21" s="24" t="s">
        <v>76</v>
      </c>
      <c r="E21" s="24" t="s">
        <v>11</v>
      </c>
      <c r="F21" s="24" t="s">
        <v>42</v>
      </c>
      <c r="G21" s="24" t="s">
        <v>87</v>
      </c>
      <c r="H21" s="24" t="s">
        <v>33</v>
      </c>
      <c r="I21" s="25">
        <v>0.96609999999999996</v>
      </c>
      <c r="J21" s="25">
        <v>0.86040000000000005</v>
      </c>
      <c r="K21" s="21">
        <v>0.83279999999999998</v>
      </c>
      <c r="L21" s="21">
        <v>0.85829999999999995</v>
      </c>
      <c r="M21" s="21">
        <v>0.89549999999999996</v>
      </c>
      <c r="N21" s="21" t="s">
        <v>73</v>
      </c>
    </row>
    <row r="22" spans="1:14" s="35" customFormat="1" ht="30" customHeight="1">
      <c r="A22" s="22" t="s">
        <v>47</v>
      </c>
      <c r="B22" s="23" t="s">
        <v>25</v>
      </c>
      <c r="C22" s="23">
        <v>224</v>
      </c>
      <c r="D22" s="24" t="s">
        <v>76</v>
      </c>
      <c r="E22" s="24" t="s">
        <v>11</v>
      </c>
      <c r="F22" s="24" t="s">
        <v>42</v>
      </c>
      <c r="G22" s="24" t="s">
        <v>87</v>
      </c>
      <c r="H22" s="24" t="s">
        <v>33</v>
      </c>
      <c r="I22" s="25">
        <v>0.96519999999999995</v>
      </c>
      <c r="J22" s="25">
        <v>0.84470000000000001</v>
      </c>
      <c r="K22" s="21">
        <v>0.81889999999999996</v>
      </c>
      <c r="L22" s="21">
        <v>0.83930000000000005</v>
      </c>
      <c r="M22" s="21">
        <v>0.88109999999999999</v>
      </c>
      <c r="N22" s="21" t="s">
        <v>81</v>
      </c>
    </row>
    <row r="23" spans="1:14" s="36" customFormat="1" ht="30" customHeight="1">
      <c r="A23" s="27" t="s">
        <v>84</v>
      </c>
      <c r="B23" s="28" t="s">
        <v>25</v>
      </c>
      <c r="C23" s="29">
        <v>320</v>
      </c>
      <c r="D23" s="30" t="s">
        <v>76</v>
      </c>
      <c r="E23" s="30" t="s">
        <v>11</v>
      </c>
      <c r="F23" s="30" t="s">
        <v>42</v>
      </c>
      <c r="G23" s="30" t="s">
        <v>87</v>
      </c>
      <c r="H23" s="30" t="s">
        <v>33</v>
      </c>
      <c r="I23" s="31">
        <v>0.96809999999999996</v>
      </c>
      <c r="J23" s="31">
        <v>0.88370000000000004</v>
      </c>
      <c r="K23" s="31">
        <v>0.86060000000000003</v>
      </c>
      <c r="L23" s="31">
        <v>0.85650000000000004</v>
      </c>
      <c r="M23" s="31">
        <v>0.92849999999999999</v>
      </c>
      <c r="N23" s="27" t="s">
        <v>86</v>
      </c>
    </row>
    <row r="24" spans="1:14" s="36" customFormat="1" ht="30" customHeight="1">
      <c r="A24" s="27" t="s">
        <v>94</v>
      </c>
      <c r="B24" s="28" t="s">
        <v>25</v>
      </c>
      <c r="C24" s="29">
        <v>320</v>
      </c>
      <c r="D24" s="30" t="s">
        <v>76</v>
      </c>
      <c r="E24" s="30" t="s">
        <v>89</v>
      </c>
      <c r="F24" s="30" t="s">
        <v>42</v>
      </c>
      <c r="G24" s="30" t="s">
        <v>87</v>
      </c>
      <c r="H24" s="30" t="s">
        <v>33</v>
      </c>
      <c r="I24" s="31">
        <v>0.96150000000000002</v>
      </c>
      <c r="J24" s="31">
        <v>0.88570000000000004</v>
      </c>
      <c r="K24" s="31">
        <v>0.86209999999999998</v>
      </c>
      <c r="L24" s="31">
        <v>0.8337</v>
      </c>
      <c r="M24" s="31">
        <v>0.94579999999999997</v>
      </c>
      <c r="N24" s="27" t="s">
        <v>95</v>
      </c>
    </row>
    <row r="25" spans="1:14" ht="30" customHeight="1">
      <c r="A25" s="7"/>
      <c r="B25" s="1"/>
      <c r="C25" s="1"/>
      <c r="D25" s="2" t="s">
        <v>97</v>
      </c>
      <c r="E25" s="1"/>
      <c r="F25" s="1"/>
      <c r="G25" s="1"/>
      <c r="H25" s="1"/>
      <c r="I25" s="5"/>
      <c r="J25" s="5"/>
      <c r="K25" s="5"/>
      <c r="L25" s="5"/>
      <c r="M25" s="5"/>
      <c r="N25" s="5"/>
    </row>
    <row r="26" spans="1:14" ht="30" customHeight="1">
      <c r="A26" s="7"/>
      <c r="B26" s="1"/>
      <c r="C26" s="1"/>
      <c r="D26" s="2" t="s">
        <v>93</v>
      </c>
      <c r="E26" s="1"/>
      <c r="F26" s="1"/>
      <c r="G26" s="1"/>
      <c r="H26" s="1"/>
      <c r="I26" s="5"/>
      <c r="J26" s="5"/>
      <c r="K26" s="5"/>
      <c r="L26" s="5"/>
      <c r="M26" s="5"/>
      <c r="N26" s="5"/>
    </row>
    <row r="27" spans="1:14" ht="30" customHeight="1">
      <c r="A27" s="7"/>
      <c r="B27" s="1"/>
      <c r="C27" s="1"/>
      <c r="D27" s="2" t="s">
        <v>92</v>
      </c>
      <c r="E27" s="1"/>
      <c r="F27" s="1"/>
      <c r="G27" s="1"/>
      <c r="H27" s="1"/>
      <c r="I27" s="5"/>
      <c r="J27" s="5"/>
      <c r="K27" s="5"/>
      <c r="L27" s="5"/>
      <c r="M27" s="5"/>
      <c r="N27" s="5"/>
    </row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D926-10CC-4129-B953-19FB4FC5D91D}">
  <dimension ref="A1:B101"/>
  <sheetViews>
    <sheetView workbookViewId="0">
      <selection activeCell="D46" sqref="D46"/>
    </sheetView>
  </sheetViews>
  <sheetFormatPr defaultRowHeight="13.8"/>
  <sheetData>
    <row r="1" spans="1:2">
      <c r="A1" s="19" t="s">
        <v>41</v>
      </c>
      <c r="B1">
        <v>0.77490000000000003</v>
      </c>
    </row>
    <row r="2" spans="1:2">
      <c r="A2" s="19" t="s">
        <v>41</v>
      </c>
      <c r="B2">
        <v>0.77690000000000003</v>
      </c>
    </row>
    <row r="3" spans="1:2">
      <c r="A3" s="19" t="s">
        <v>41</v>
      </c>
      <c r="B3">
        <v>0.77739999999999998</v>
      </c>
    </row>
    <row r="4" spans="1:2">
      <c r="A4" s="19" t="s">
        <v>41</v>
      </c>
      <c r="B4">
        <v>0.77949999999999997</v>
      </c>
    </row>
    <row r="5" spans="1:2">
      <c r="A5" s="19" t="s">
        <v>41</v>
      </c>
      <c r="B5">
        <v>0.78049999999999997</v>
      </c>
    </row>
    <row r="6" spans="1:2">
      <c r="A6" s="19" t="s">
        <v>41</v>
      </c>
      <c r="B6">
        <v>0.78100000000000003</v>
      </c>
    </row>
    <row r="7" spans="1:2">
      <c r="A7" s="19" t="s">
        <v>41</v>
      </c>
      <c r="B7">
        <v>0.78249999999999997</v>
      </c>
    </row>
    <row r="8" spans="1:2">
      <c r="A8" s="19" t="s">
        <v>41</v>
      </c>
      <c r="B8">
        <v>0.78400000000000003</v>
      </c>
    </row>
    <row r="9" spans="1:2">
      <c r="A9" s="19" t="s">
        <v>41</v>
      </c>
      <c r="B9">
        <v>0.78400000000000003</v>
      </c>
    </row>
    <row r="10" spans="1:2">
      <c r="A10" s="19" t="s">
        <v>41</v>
      </c>
      <c r="B10">
        <v>0.78549999999999998</v>
      </c>
    </row>
    <row r="11" spans="1:2">
      <c r="A11" s="19" t="s">
        <v>41</v>
      </c>
      <c r="B11">
        <v>0.78710000000000002</v>
      </c>
    </row>
    <row r="12" spans="1:2">
      <c r="A12" s="19" t="s">
        <v>41</v>
      </c>
      <c r="B12">
        <v>0.78759999999999997</v>
      </c>
    </row>
    <row r="13" spans="1:2">
      <c r="A13" s="19" t="s">
        <v>41</v>
      </c>
      <c r="B13">
        <v>0.78859999999999997</v>
      </c>
    </row>
    <row r="14" spans="1:2">
      <c r="A14" s="19" t="s">
        <v>41</v>
      </c>
      <c r="B14">
        <v>0.78910000000000002</v>
      </c>
    </row>
    <row r="15" spans="1:2">
      <c r="A15" s="19" t="s">
        <v>41</v>
      </c>
      <c r="B15">
        <v>0.79059999999999997</v>
      </c>
    </row>
    <row r="16" spans="1:2">
      <c r="A16" s="19" t="s">
        <v>41</v>
      </c>
      <c r="B16">
        <v>0.79410000000000003</v>
      </c>
    </row>
    <row r="17" spans="1:2">
      <c r="A17" s="19" t="s">
        <v>41</v>
      </c>
      <c r="B17">
        <v>0.79510000000000003</v>
      </c>
    </row>
    <row r="18" spans="1:2">
      <c r="A18" s="19" t="s">
        <v>41</v>
      </c>
      <c r="B18">
        <v>0.79669999999999996</v>
      </c>
    </row>
    <row r="19" spans="1:2">
      <c r="A19" s="19" t="s">
        <v>41</v>
      </c>
      <c r="B19">
        <v>0.79920000000000002</v>
      </c>
    </row>
    <row r="20" spans="1:2">
      <c r="A20" s="19" t="s">
        <v>41</v>
      </c>
      <c r="B20">
        <v>0.79969999999999997</v>
      </c>
    </row>
    <row r="21" spans="1:2">
      <c r="A21" s="19" t="s">
        <v>41</v>
      </c>
      <c r="B21">
        <v>0.80069999999999997</v>
      </c>
    </row>
    <row r="22" spans="1:2">
      <c r="A22" s="19" t="s">
        <v>41</v>
      </c>
      <c r="B22">
        <v>0.80069999999999997</v>
      </c>
    </row>
    <row r="23" spans="1:2">
      <c r="A23" s="19" t="s">
        <v>41</v>
      </c>
      <c r="B23">
        <v>0.80220000000000002</v>
      </c>
    </row>
    <row r="24" spans="1:2">
      <c r="A24" s="19" t="s">
        <v>41</v>
      </c>
      <c r="B24">
        <v>0.80420000000000003</v>
      </c>
    </row>
    <row r="25" spans="1:2">
      <c r="A25" s="19" t="s">
        <v>41</v>
      </c>
      <c r="B25">
        <v>0.80579999999999996</v>
      </c>
    </row>
    <row r="26" spans="1:2">
      <c r="A26" s="19" t="s">
        <v>41</v>
      </c>
      <c r="B26">
        <v>0.80679999999999996</v>
      </c>
    </row>
    <row r="27" spans="1:2">
      <c r="A27" s="19" t="s">
        <v>41</v>
      </c>
      <c r="B27">
        <v>0.80779999999999996</v>
      </c>
    </row>
    <row r="28" spans="1:2">
      <c r="A28" s="19" t="s">
        <v>41</v>
      </c>
      <c r="B28">
        <v>0.80879999999999996</v>
      </c>
    </row>
    <row r="29" spans="1:2">
      <c r="A29" s="19" t="s">
        <v>41</v>
      </c>
      <c r="B29">
        <v>0.81340000000000001</v>
      </c>
    </row>
    <row r="30" spans="1:2">
      <c r="A30" s="19" t="s">
        <v>41</v>
      </c>
      <c r="B30">
        <v>0.81440000000000001</v>
      </c>
    </row>
    <row r="31" spans="1:2">
      <c r="A31" s="19" t="s">
        <v>41</v>
      </c>
      <c r="B31">
        <v>0.81340000000000001</v>
      </c>
    </row>
    <row r="32" spans="1:2">
      <c r="A32" s="19" t="s">
        <v>41</v>
      </c>
      <c r="B32">
        <v>0.81489999999999996</v>
      </c>
    </row>
    <row r="33" spans="1:2">
      <c r="A33" s="19" t="s">
        <v>41</v>
      </c>
      <c r="B33">
        <v>0.81540000000000001</v>
      </c>
    </row>
    <row r="34" spans="1:2">
      <c r="A34" s="19" t="s">
        <v>41</v>
      </c>
      <c r="B34">
        <v>0.81840000000000002</v>
      </c>
    </row>
    <row r="35" spans="1:2">
      <c r="A35" s="19" t="s">
        <v>41</v>
      </c>
      <c r="B35">
        <v>0.82199999999999995</v>
      </c>
    </row>
    <row r="36" spans="1:2">
      <c r="A36" s="19" t="s">
        <v>41</v>
      </c>
      <c r="B36">
        <v>0.82250000000000001</v>
      </c>
    </row>
    <row r="37" spans="1:2">
      <c r="A37" s="19" t="s">
        <v>41</v>
      </c>
      <c r="B37">
        <v>0.82350000000000001</v>
      </c>
    </row>
    <row r="38" spans="1:2">
      <c r="A38" s="19" t="s">
        <v>41</v>
      </c>
      <c r="B38">
        <v>0.82550000000000001</v>
      </c>
    </row>
    <row r="39" spans="1:2">
      <c r="A39" s="19" t="s">
        <v>41</v>
      </c>
      <c r="B39">
        <v>0.82799999999999996</v>
      </c>
    </row>
    <row r="40" spans="1:2">
      <c r="A40" s="19" t="s">
        <v>41</v>
      </c>
      <c r="B40">
        <v>0.83509999999999995</v>
      </c>
    </row>
    <row r="41" spans="1:2">
      <c r="A41" s="19" t="s">
        <v>41</v>
      </c>
      <c r="B41">
        <v>0.83609999999999995</v>
      </c>
    </row>
    <row r="42" spans="1:2">
      <c r="A42" s="19" t="s">
        <v>41</v>
      </c>
      <c r="B42">
        <v>0.83809999999999996</v>
      </c>
    </row>
    <row r="43" spans="1:2">
      <c r="A43" s="19" t="s">
        <v>41</v>
      </c>
      <c r="B43">
        <v>0.83709999999999996</v>
      </c>
    </row>
    <row r="44" spans="1:2">
      <c r="A44" s="19" t="s">
        <v>41</v>
      </c>
      <c r="B44">
        <v>0.83809999999999996</v>
      </c>
    </row>
    <row r="45" spans="1:2">
      <c r="A45" s="19" t="s">
        <v>41</v>
      </c>
      <c r="B45">
        <v>0.8407</v>
      </c>
    </row>
    <row r="46" spans="1:2">
      <c r="A46" s="19" t="s">
        <v>41</v>
      </c>
      <c r="B46">
        <v>0.84319999999999995</v>
      </c>
    </row>
    <row r="47" spans="1:2">
      <c r="A47" s="19" t="s">
        <v>41</v>
      </c>
      <c r="B47">
        <v>0.84219999999999995</v>
      </c>
    </row>
    <row r="48" spans="1:2">
      <c r="A48" s="19" t="s">
        <v>41</v>
      </c>
      <c r="B48">
        <v>0.84470000000000001</v>
      </c>
    </row>
    <row r="49" spans="1:2">
      <c r="A49" s="19" t="s">
        <v>41</v>
      </c>
      <c r="B49">
        <v>0.84770000000000001</v>
      </c>
    </row>
    <row r="50" spans="1:2">
      <c r="A50" s="19" t="s">
        <v>41</v>
      </c>
      <c r="B50">
        <v>0.8488</v>
      </c>
    </row>
    <row r="51" spans="1:2">
      <c r="A51" s="19" t="s">
        <v>41</v>
      </c>
      <c r="B51">
        <v>0.84470000000000001</v>
      </c>
    </row>
    <row r="52" spans="1:2">
      <c r="A52" s="19" t="s">
        <v>41</v>
      </c>
      <c r="B52">
        <v>0.84719999999999995</v>
      </c>
    </row>
    <row r="53" spans="1:2">
      <c r="A53" s="19" t="s">
        <v>41</v>
      </c>
      <c r="B53">
        <v>0.8498</v>
      </c>
    </row>
    <row r="54" spans="1:2">
      <c r="A54" s="19" t="s">
        <v>41</v>
      </c>
      <c r="B54">
        <v>0.85129999999999995</v>
      </c>
    </row>
    <row r="55" spans="1:2">
      <c r="A55" s="19" t="s">
        <v>41</v>
      </c>
      <c r="B55">
        <v>0.8508</v>
      </c>
    </row>
    <row r="56" spans="1:2">
      <c r="A56" s="19" t="s">
        <v>41</v>
      </c>
      <c r="B56">
        <v>0.84830000000000005</v>
      </c>
    </row>
    <row r="57" spans="1:2">
      <c r="A57" s="19" t="s">
        <v>41</v>
      </c>
      <c r="B57">
        <v>0.84719999999999995</v>
      </c>
    </row>
    <row r="58" spans="1:2">
      <c r="A58" s="19" t="s">
        <v>41</v>
      </c>
      <c r="B58">
        <v>0.84570000000000001</v>
      </c>
    </row>
    <row r="59" spans="1:2">
      <c r="A59" s="19" t="s">
        <v>41</v>
      </c>
      <c r="B59">
        <v>0.84319999999999995</v>
      </c>
    </row>
    <row r="60" spans="1:2">
      <c r="A60" s="19" t="s">
        <v>41</v>
      </c>
      <c r="B60">
        <v>0.84219999999999995</v>
      </c>
    </row>
    <row r="61" spans="1:2">
      <c r="A61" s="19" t="s">
        <v>41</v>
      </c>
      <c r="B61">
        <v>0.83709999999999996</v>
      </c>
    </row>
    <row r="62" spans="1:2">
      <c r="A62" s="19" t="s">
        <v>41</v>
      </c>
      <c r="B62">
        <v>0.83509999999999995</v>
      </c>
    </row>
    <row r="63" spans="1:2">
      <c r="A63" s="19" t="s">
        <v>41</v>
      </c>
      <c r="B63">
        <v>0.83409999999999995</v>
      </c>
    </row>
    <row r="64" spans="1:2">
      <c r="A64" s="19" t="s">
        <v>41</v>
      </c>
      <c r="B64">
        <v>0.8306</v>
      </c>
    </row>
    <row r="65" spans="1:2">
      <c r="A65" s="19" t="s">
        <v>41</v>
      </c>
      <c r="B65">
        <v>0.82499999999999996</v>
      </c>
    </row>
    <row r="66" spans="1:2">
      <c r="A66" s="19" t="s">
        <v>41</v>
      </c>
      <c r="B66">
        <v>0.82550000000000001</v>
      </c>
    </row>
    <row r="67" spans="1:2">
      <c r="A67" s="19" t="s">
        <v>41</v>
      </c>
      <c r="B67">
        <v>0.82350000000000001</v>
      </c>
    </row>
    <row r="68" spans="1:2">
      <c r="A68" s="19" t="s">
        <v>41</v>
      </c>
      <c r="B68">
        <v>0.82140000000000002</v>
      </c>
    </row>
    <row r="69" spans="1:2">
      <c r="A69" s="19" t="s">
        <v>41</v>
      </c>
      <c r="B69">
        <v>0.81940000000000002</v>
      </c>
    </row>
    <row r="70" spans="1:2">
      <c r="A70" s="19" t="s">
        <v>41</v>
      </c>
      <c r="B70">
        <v>0.81840000000000002</v>
      </c>
    </row>
    <row r="71" spans="1:2">
      <c r="A71" s="19" t="s">
        <v>41</v>
      </c>
      <c r="B71">
        <v>0.81689999999999996</v>
      </c>
    </row>
    <row r="72" spans="1:2">
      <c r="A72" s="19" t="s">
        <v>41</v>
      </c>
      <c r="B72">
        <v>0.81589999999999996</v>
      </c>
    </row>
    <row r="73" spans="1:2">
      <c r="A73" s="19" t="s">
        <v>41</v>
      </c>
      <c r="B73">
        <v>0.81440000000000001</v>
      </c>
    </row>
    <row r="74" spans="1:2">
      <c r="A74" s="19" t="s">
        <v>41</v>
      </c>
      <c r="B74">
        <v>0.81340000000000001</v>
      </c>
    </row>
    <row r="75" spans="1:2">
      <c r="A75" s="19" t="s">
        <v>41</v>
      </c>
      <c r="B75">
        <v>0.81279999999999997</v>
      </c>
    </row>
    <row r="76" spans="1:2">
      <c r="A76" s="19" t="s">
        <v>41</v>
      </c>
      <c r="B76">
        <v>0.81279999999999997</v>
      </c>
    </row>
    <row r="77" spans="1:2">
      <c r="A77" s="19" t="s">
        <v>41</v>
      </c>
      <c r="B77">
        <v>0.81279999999999997</v>
      </c>
    </row>
    <row r="78" spans="1:2">
      <c r="A78" s="19" t="s">
        <v>41</v>
      </c>
      <c r="B78">
        <v>0.81340000000000001</v>
      </c>
    </row>
    <row r="79" spans="1:2">
      <c r="A79" s="19" t="s">
        <v>41</v>
      </c>
      <c r="B79">
        <v>0.81130000000000002</v>
      </c>
    </row>
    <row r="80" spans="1:2">
      <c r="A80" s="19" t="s">
        <v>41</v>
      </c>
      <c r="B80">
        <v>0.81130000000000002</v>
      </c>
    </row>
    <row r="81" spans="1:2">
      <c r="A81" s="19" t="s">
        <v>41</v>
      </c>
      <c r="B81">
        <v>0.81130000000000002</v>
      </c>
    </row>
    <row r="82" spans="1:2">
      <c r="A82" s="19" t="s">
        <v>41</v>
      </c>
      <c r="B82">
        <v>0.80979999999999996</v>
      </c>
    </row>
    <row r="83" spans="1:2">
      <c r="A83" s="19" t="s">
        <v>41</v>
      </c>
      <c r="B83">
        <v>0.80879999999999996</v>
      </c>
    </row>
    <row r="84" spans="1:2">
      <c r="A84" s="19" t="s">
        <v>41</v>
      </c>
      <c r="B84">
        <v>0.80979999999999996</v>
      </c>
    </row>
    <row r="85" spans="1:2">
      <c r="A85" s="19" t="s">
        <v>41</v>
      </c>
      <c r="B85">
        <v>0.80930000000000002</v>
      </c>
    </row>
    <row r="86" spans="1:2">
      <c r="A86" s="19" t="s">
        <v>41</v>
      </c>
      <c r="B86">
        <v>0.80879999999999996</v>
      </c>
    </row>
    <row r="87" spans="1:2">
      <c r="A87" s="19" t="s">
        <v>41</v>
      </c>
      <c r="B87">
        <v>0.81030000000000002</v>
      </c>
    </row>
    <row r="88" spans="1:2">
      <c r="A88" s="19" t="s">
        <v>41</v>
      </c>
      <c r="B88">
        <v>0.81030000000000002</v>
      </c>
    </row>
    <row r="89" spans="1:2">
      <c r="A89" s="19" t="s">
        <v>41</v>
      </c>
      <c r="B89">
        <v>0.80930000000000002</v>
      </c>
    </row>
    <row r="90" spans="1:2">
      <c r="A90" s="19" t="s">
        <v>41</v>
      </c>
      <c r="B90">
        <v>0.80879999999999996</v>
      </c>
    </row>
    <row r="91" spans="1:2">
      <c r="A91" s="19" t="s">
        <v>41</v>
      </c>
      <c r="B91">
        <v>0.80779999999999996</v>
      </c>
    </row>
    <row r="92" spans="1:2">
      <c r="A92" s="19" t="s">
        <v>41</v>
      </c>
      <c r="B92">
        <v>0.80730000000000002</v>
      </c>
    </row>
    <row r="93" spans="1:2">
      <c r="A93" s="19" t="s">
        <v>41</v>
      </c>
      <c r="B93">
        <v>0.80479999999999996</v>
      </c>
    </row>
    <row r="94" spans="1:2">
      <c r="A94" s="19" t="s">
        <v>41</v>
      </c>
      <c r="B94">
        <v>0.80269999999999997</v>
      </c>
    </row>
    <row r="95" spans="1:2">
      <c r="A95" s="19" t="s">
        <v>41</v>
      </c>
      <c r="B95">
        <v>0.80220000000000002</v>
      </c>
    </row>
    <row r="96" spans="1:2">
      <c r="A96" s="19" t="s">
        <v>41</v>
      </c>
      <c r="B96">
        <v>0.80269999999999997</v>
      </c>
    </row>
    <row r="97" spans="1:2">
      <c r="A97" s="19" t="s">
        <v>41</v>
      </c>
      <c r="B97">
        <v>0.80220000000000002</v>
      </c>
    </row>
    <row r="98" spans="1:2">
      <c r="A98" s="19" t="s">
        <v>41</v>
      </c>
      <c r="B98">
        <v>0.80069999999999997</v>
      </c>
    </row>
    <row r="99" spans="1:2">
      <c r="A99" s="19" t="s">
        <v>41</v>
      </c>
      <c r="B99">
        <v>0.79920000000000002</v>
      </c>
    </row>
    <row r="100" spans="1:2">
      <c r="A100" s="19" t="s">
        <v>41</v>
      </c>
      <c r="B100">
        <v>0.79869999999999997</v>
      </c>
    </row>
    <row r="101" spans="1:2">
      <c r="A101" s="19" t="s">
        <v>41</v>
      </c>
      <c r="B101">
        <v>0.79820000000000002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A663-630A-4D72-8252-EC0CC7D44DAA}">
  <dimension ref="A1:D24"/>
  <sheetViews>
    <sheetView workbookViewId="0">
      <selection activeCell="B46" sqref="B46"/>
    </sheetView>
  </sheetViews>
  <sheetFormatPr defaultRowHeight="13.8"/>
  <cols>
    <col min="2" max="2" width="8.77734375" customWidth="1"/>
  </cols>
  <sheetData>
    <row r="1" spans="1:4">
      <c r="A1" t="s">
        <v>41</v>
      </c>
      <c r="B1">
        <v>0.78859999999999997</v>
      </c>
      <c r="C1">
        <f>B1+B6+B11+B16+B21</f>
        <v>3.9384000000000001</v>
      </c>
      <c r="D1">
        <f>C1/5</f>
        <v>0.78768000000000005</v>
      </c>
    </row>
    <row r="2" spans="1:4">
      <c r="A2" t="s">
        <v>44</v>
      </c>
      <c r="B2">
        <v>0.75600000000000001</v>
      </c>
      <c r="C2">
        <f t="shared" ref="C2:C4" si="0">B2+B7+B12+B17+B22</f>
        <v>3.7801</v>
      </c>
      <c r="D2">
        <f t="shared" ref="D2:D4" si="1">C2/5</f>
        <v>0.75602000000000003</v>
      </c>
    </row>
    <row r="3" spans="1:4">
      <c r="A3" t="s">
        <v>45</v>
      </c>
      <c r="B3">
        <v>0.73499999999999999</v>
      </c>
      <c r="C3">
        <f t="shared" si="0"/>
        <v>3.6248999999999998</v>
      </c>
      <c r="D3">
        <f t="shared" si="1"/>
        <v>0.72497999999999996</v>
      </c>
    </row>
    <row r="4" spans="1:4">
      <c r="A4" t="s">
        <v>46</v>
      </c>
      <c r="B4">
        <v>0.8649</v>
      </c>
      <c r="C4">
        <f t="shared" si="0"/>
        <v>4.3349000000000002</v>
      </c>
      <c r="D4">
        <f t="shared" si="1"/>
        <v>0.86698000000000008</v>
      </c>
    </row>
    <row r="6" spans="1:4">
      <c r="A6" t="s">
        <v>41</v>
      </c>
      <c r="B6">
        <v>0.78810000000000002</v>
      </c>
    </row>
    <row r="7" spans="1:4">
      <c r="A7" t="s">
        <v>44</v>
      </c>
      <c r="B7">
        <v>0.75409999999999999</v>
      </c>
    </row>
    <row r="8" spans="1:4">
      <c r="A8" t="s">
        <v>45</v>
      </c>
      <c r="B8">
        <v>0.74239999999999995</v>
      </c>
    </row>
    <row r="9" spans="1:4">
      <c r="A9" t="s">
        <v>46</v>
      </c>
      <c r="B9">
        <v>0.86180000000000001</v>
      </c>
    </row>
    <row r="11" spans="1:4">
      <c r="A11" t="s">
        <v>41</v>
      </c>
      <c r="B11">
        <v>0.78759999999999997</v>
      </c>
    </row>
    <row r="12" spans="1:4">
      <c r="A12" t="s">
        <v>44</v>
      </c>
      <c r="B12">
        <v>0.75660000000000005</v>
      </c>
    </row>
    <row r="13" spans="1:4">
      <c r="A13" t="s">
        <v>45</v>
      </c>
      <c r="B13">
        <v>0.72750000000000004</v>
      </c>
    </row>
    <row r="14" spans="1:4">
      <c r="A14" t="s">
        <v>46</v>
      </c>
      <c r="B14">
        <v>0.86619999999999997</v>
      </c>
    </row>
    <row r="16" spans="1:4">
      <c r="A16" t="s">
        <v>41</v>
      </c>
      <c r="B16">
        <v>0.78600000000000003</v>
      </c>
    </row>
    <row r="17" spans="1:2">
      <c r="A17" t="s">
        <v>44</v>
      </c>
      <c r="B17">
        <v>0.75149999999999995</v>
      </c>
    </row>
    <row r="18" spans="1:2">
      <c r="A18" t="s">
        <v>45</v>
      </c>
      <c r="B18">
        <v>0.74239999999999995</v>
      </c>
    </row>
    <row r="19" spans="1:2">
      <c r="A19" t="s">
        <v>46</v>
      </c>
      <c r="B19">
        <v>0.85909999999999997</v>
      </c>
    </row>
    <row r="21" spans="1:2">
      <c r="A21" t="s">
        <v>41</v>
      </c>
      <c r="B21">
        <v>0.78810000000000002</v>
      </c>
    </row>
    <row r="22" spans="1:2">
      <c r="A22" t="s">
        <v>44</v>
      </c>
      <c r="B22">
        <v>0.76190000000000002</v>
      </c>
    </row>
    <row r="23" spans="1:2">
      <c r="A23" t="s">
        <v>45</v>
      </c>
      <c r="B23">
        <v>0.67759999999999998</v>
      </c>
    </row>
    <row r="24" spans="1:2">
      <c r="A24" t="s">
        <v>46</v>
      </c>
      <c r="B24">
        <v>0.88290000000000002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数据集信息</vt:lpstr>
      <vt:lpstr>实验记录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Stave Eric</dc:creator>
  <cp:lastModifiedBy>Stave Eric</cp:lastModifiedBy>
  <dcterms:created xsi:type="dcterms:W3CDTF">2020-06-19T16:02:28Z</dcterms:created>
  <dcterms:modified xsi:type="dcterms:W3CDTF">2020-06-26T17:26:21Z</dcterms:modified>
</cp:coreProperties>
</file>