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unspotsRecognition\"/>
    </mc:Choice>
  </mc:AlternateContent>
  <xr:revisionPtr revIDLastSave="0" documentId="13_ncr:1_{6481311F-2020-4FF0-85E6-F5AE8F22F187}" xr6:coauthVersionLast="45" xr6:coauthVersionMax="45" xr10:uidLastSave="{00000000-0000-0000-0000-000000000000}"/>
  <bookViews>
    <workbookView xWindow="-108" yWindow="-108" windowWidth="30936" windowHeight="16896" activeTab="1" xr2:uid="{FD2883F6-D81B-4C4E-8BFE-E8E8487B7D44}"/>
  </bookViews>
  <sheets>
    <sheet name="continuum" sheetId="1" r:id="rId1"/>
    <sheet name="实验记录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" i="1" l="1"/>
  <c r="E7" i="1"/>
  <c r="E6" i="1"/>
  <c r="E9" i="1" s="1"/>
  <c r="D9" i="1"/>
  <c r="C9" i="1"/>
  <c r="D5" i="1" l="1"/>
  <c r="E3" i="1"/>
  <c r="E4" i="1"/>
  <c r="E2" i="1"/>
  <c r="E5" i="1" s="1"/>
  <c r="C5" i="1"/>
</calcChain>
</file>

<file path=xl/sharedStrings.xml><?xml version="1.0" encoding="utf-8"?>
<sst xmlns="http://schemas.openxmlformats.org/spreadsheetml/2006/main" count="90" uniqueCount="51">
  <si>
    <t>alpha</t>
    <phoneticPr fontId="1" type="noConversion"/>
  </si>
  <si>
    <t>beta</t>
    <phoneticPr fontId="1" type="noConversion"/>
  </si>
  <si>
    <t>betax</t>
    <phoneticPr fontId="1" type="noConversion"/>
  </si>
  <si>
    <t>样本数量</t>
    <phoneticPr fontId="1" type="noConversion"/>
  </si>
  <si>
    <t>带有宇宙背景</t>
    <phoneticPr fontId="1" type="noConversion"/>
  </si>
  <si>
    <t>无宇宙背景</t>
    <phoneticPr fontId="1" type="noConversion"/>
  </si>
  <si>
    <t>最大宽度</t>
    <phoneticPr fontId="1" type="noConversion"/>
  </si>
  <si>
    <t>最大高度</t>
    <phoneticPr fontId="1" type="noConversion"/>
  </si>
  <si>
    <t>总计</t>
    <phoneticPr fontId="1" type="noConversion"/>
  </si>
  <si>
    <t>最大值</t>
    <phoneticPr fontId="1" type="noConversion"/>
  </si>
  <si>
    <t>最小值</t>
    <phoneticPr fontId="1" type="noConversion"/>
  </si>
  <si>
    <t>ResNet14</t>
    <phoneticPr fontId="1" type="noConversion"/>
  </si>
  <si>
    <t>Model</t>
    <phoneticPr fontId="1" type="noConversion"/>
  </si>
  <si>
    <t>Architecture</t>
    <phoneticPr fontId="1" type="noConversion"/>
  </si>
  <si>
    <t>16-32-64-128-256</t>
    <phoneticPr fontId="1" type="noConversion"/>
  </si>
  <si>
    <t>Global Mean Pooling</t>
    <phoneticPr fontId="1" type="noConversion"/>
  </si>
  <si>
    <t>Pooling</t>
    <phoneticPr fontId="1" type="noConversion"/>
  </si>
  <si>
    <t>Valid Acc</t>
    <phoneticPr fontId="1" type="noConversion"/>
  </si>
  <si>
    <t>ID</t>
    <phoneticPr fontId="1" type="noConversion"/>
  </si>
  <si>
    <t>Data Strategy</t>
  </si>
  <si>
    <t>Train Acc</t>
    <phoneticPr fontId="1" type="noConversion"/>
  </si>
  <si>
    <t>8-16-32-64-128</t>
    <phoneticPr fontId="1" type="noConversion"/>
  </si>
  <si>
    <t>Dataset</t>
    <phoneticPr fontId="1" type="noConversion"/>
  </si>
  <si>
    <t>Continuum</t>
    <phoneticPr fontId="1" type="noConversion"/>
  </si>
  <si>
    <t>Center Crop+Random Flip</t>
    <phoneticPr fontId="1" type="noConversion"/>
  </si>
  <si>
    <t>0001</t>
    <phoneticPr fontId="1" type="noConversion"/>
  </si>
  <si>
    <t>0002</t>
    <phoneticPr fontId="1" type="noConversion"/>
  </si>
  <si>
    <t>0003</t>
    <phoneticPr fontId="1" type="noConversion"/>
  </si>
  <si>
    <t>Continuum+Magnetogram</t>
    <phoneticPr fontId="1" type="noConversion"/>
  </si>
  <si>
    <t>32-64-128-256-512</t>
    <phoneticPr fontId="1" type="noConversion"/>
  </si>
  <si>
    <t>0004</t>
    <phoneticPr fontId="1" type="noConversion"/>
  </si>
  <si>
    <t>类型</t>
    <phoneticPr fontId="1" type="noConversion"/>
  </si>
  <si>
    <t>数据集</t>
    <phoneticPr fontId="1" type="noConversion"/>
  </si>
  <si>
    <t>Magnetogram</t>
    <phoneticPr fontId="1" type="noConversion"/>
  </si>
  <si>
    <t>0005</t>
    <phoneticPr fontId="1" type="noConversion"/>
  </si>
  <si>
    <t>Optimizer</t>
  </si>
  <si>
    <t>Adam</t>
    <phoneticPr fontId="1" type="noConversion"/>
  </si>
  <si>
    <t>Adam+SGD</t>
    <phoneticPr fontId="1" type="noConversion"/>
  </si>
  <si>
    <t>Global Max Pooling</t>
    <phoneticPr fontId="1" type="noConversion"/>
  </si>
  <si>
    <t>Note</t>
    <phoneticPr fontId="1" type="noConversion"/>
  </si>
  <si>
    <t>宽模型拟合能力更强</t>
    <phoneticPr fontId="1" type="noConversion"/>
  </si>
  <si>
    <t>Mag比Con略差</t>
    <phoneticPr fontId="1" type="noConversion"/>
  </si>
  <si>
    <t>同时使用两种数据有轻微提升</t>
    <phoneticPr fontId="1" type="noConversion"/>
  </si>
  <si>
    <t>全局平均池化效果更好</t>
    <phoneticPr fontId="1" type="noConversion"/>
  </si>
  <si>
    <t>0006</t>
    <phoneticPr fontId="1" type="noConversion"/>
  </si>
  <si>
    <t>Momentum</t>
    <phoneticPr fontId="1" type="noConversion"/>
  </si>
  <si>
    <t>beta F1</t>
    <phoneticPr fontId="1" type="noConversion"/>
  </si>
  <si>
    <t>betax F1</t>
    <phoneticPr fontId="1" type="noConversion"/>
  </si>
  <si>
    <t>alpha F1</t>
    <phoneticPr fontId="1" type="noConversion"/>
  </si>
  <si>
    <t>-</t>
    <phoneticPr fontId="1" type="noConversion"/>
  </si>
  <si>
    <t>Adam+SGD效果更好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</si>
</sst>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0"/>
      <color theme="1"/>
      <name val="等线"/>
      <family val="2"/>
      <charset val="134"/>
      <scheme val="minor"/>
    </font>
    <font>
      <sz val="20"/>
      <color theme="1"/>
      <name val="等线"/>
      <family val="3"/>
      <charset val="134"/>
      <scheme val="minor"/>
    </font>
    <font>
      <b/>
      <sz val="20"/>
      <color theme="1"/>
      <name val="等线"/>
      <family val="2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2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</fills>
  <borders count="6"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</cellXfs>
  <cellStyles count="1">
    <cellStyle name="常规" xfId="0" builtinId="0"/>
  </cellStyles>
  <dxfs count="16"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FEB377-C79F-4B70-B4A4-843E29A59236}" name="表1" displayName="表1" ref="A1:N21" totalsRowShown="0" headerRowDxfId="15" dataDxfId="14">
  <autoFilter ref="A1:N21" xr:uid="{C99BFBC0-C928-4177-AE40-416E97628F67}"/>
  <tableColumns count="14">
    <tableColumn id="1" xr3:uid="{1CB02440-5C40-46B1-BD1F-9560F0337212}" name="ID" dataDxfId="13"/>
    <tableColumn id="9" xr3:uid="{A52C51EB-FF62-4F99-ABD4-F7E9F742748B}" name="Dataset" dataDxfId="12"/>
    <tableColumn id="2" xr3:uid="{8E0936CB-E80A-44BB-8A6C-0FB4F4243008}" name="Data Strategy" dataDxfId="11"/>
    <tableColumn id="3" xr3:uid="{D5830E2B-78A3-4D53-B00C-7C767A38372F}" name="Model" dataDxfId="10"/>
    <tableColumn id="4" xr3:uid="{222C7B3D-0812-48C9-8A3F-9C7DF753FB2F}" name="Architecture" dataDxfId="9"/>
    <tableColumn id="5" xr3:uid="{C500A83B-70BD-41C8-8C03-965FC0BA7680}" name="Pooling" dataDxfId="8"/>
    <tableColumn id="14" xr3:uid="{4C26B75D-30B8-4235-8F7B-15DBE3C26CC6}" name="Momentum" dataDxfId="3"/>
    <tableColumn id="11" xr3:uid="{2735FE1C-7BA0-44DA-95B3-6066A9A0CFE8}" name="Optimizer" dataDxfId="7"/>
    <tableColumn id="6" xr3:uid="{62233452-B367-4C74-8198-3227E6A540F6}" name="Train Acc" dataDxfId="6"/>
    <tableColumn id="7" xr3:uid="{B88D0FE5-D709-462A-B4F7-56AB0EA59A11}" name="Valid Acc" dataDxfId="5"/>
    <tableColumn id="15" xr3:uid="{0E917952-26A5-4EC8-AE9B-4D7675B68E5E}" name="beta F1" dataDxfId="2"/>
    <tableColumn id="16" xr3:uid="{2168DAE4-2192-40F0-A6B8-794A6F04133C}" name="betax F1" dataDxfId="1"/>
    <tableColumn id="17" xr3:uid="{E3FB10B3-700B-45E1-9AEF-6E445BD52EA2}" name="alpha F1" dataDxfId="0"/>
    <tableColumn id="8" xr3:uid="{4E0FBDAF-83E0-40D2-A472-3F011AEB7ED9}" name="Note" dataDxfId="4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4DB9-4022-40F7-ACC8-60709BD2ED6A}">
  <dimension ref="A1:I9"/>
  <sheetViews>
    <sheetView workbookViewId="0">
      <selection activeCell="D16" sqref="D16"/>
    </sheetView>
  </sheetViews>
  <sheetFormatPr defaultRowHeight="13.8" x14ac:dyDescent="0.25"/>
  <cols>
    <col min="1" max="1" width="26.5546875" customWidth="1"/>
    <col min="2" max="2" width="20.109375" customWidth="1"/>
    <col min="3" max="3" width="24.44140625" customWidth="1"/>
    <col min="4" max="4" width="26.21875" customWidth="1"/>
    <col min="5" max="5" width="25" customWidth="1"/>
    <col min="6" max="7" width="17.109375" customWidth="1"/>
    <col min="8" max="8" width="18.6640625" customWidth="1"/>
    <col min="9" max="9" width="20.109375" customWidth="1"/>
  </cols>
  <sheetData>
    <row r="1" spans="1:9" ht="25.8" thickBot="1" x14ac:dyDescent="0.3">
      <c r="A1" s="8" t="s">
        <v>32</v>
      </c>
      <c r="B1" s="8" t="s">
        <v>31</v>
      </c>
      <c r="C1" s="8" t="s">
        <v>3</v>
      </c>
      <c r="D1" s="9" t="s">
        <v>4</v>
      </c>
      <c r="E1" s="8" t="s">
        <v>5</v>
      </c>
      <c r="F1" s="8" t="s">
        <v>9</v>
      </c>
      <c r="G1" s="9" t="s">
        <v>10</v>
      </c>
      <c r="H1" s="8" t="s">
        <v>6</v>
      </c>
      <c r="I1" s="8" t="s">
        <v>7</v>
      </c>
    </row>
    <row r="2" spans="1:9" ht="25.2" x14ac:dyDescent="0.25">
      <c r="A2" s="14" t="s">
        <v>23</v>
      </c>
      <c r="B2" s="10" t="s">
        <v>0</v>
      </c>
      <c r="C2" s="11">
        <v>4709</v>
      </c>
      <c r="D2" s="11">
        <v>325</v>
      </c>
      <c r="E2" s="10">
        <f>C2-D2</f>
        <v>4384</v>
      </c>
      <c r="F2" s="11">
        <v>72728</v>
      </c>
      <c r="G2" s="11">
        <v>206</v>
      </c>
      <c r="H2" s="10">
        <v>1094</v>
      </c>
      <c r="I2" s="11">
        <v>730</v>
      </c>
    </row>
    <row r="3" spans="1:9" ht="25.2" x14ac:dyDescent="0.25">
      <c r="A3" s="15"/>
      <c r="B3" s="12" t="s">
        <v>1</v>
      </c>
      <c r="C3" s="13">
        <v>7353</v>
      </c>
      <c r="D3" s="13">
        <v>224</v>
      </c>
      <c r="E3" s="12">
        <f t="shared" ref="E3:E4" si="0">C3-D3</f>
        <v>7129</v>
      </c>
      <c r="F3" s="13">
        <v>73367</v>
      </c>
      <c r="G3" s="13">
        <v>215</v>
      </c>
      <c r="H3" s="12">
        <v>1291</v>
      </c>
      <c r="I3" s="13">
        <v>733</v>
      </c>
    </row>
    <row r="4" spans="1:9" ht="25.2" x14ac:dyDescent="0.25">
      <c r="A4" s="15"/>
      <c r="B4" s="10" t="s">
        <v>2</v>
      </c>
      <c r="C4" s="11">
        <v>2407</v>
      </c>
      <c r="D4" s="11">
        <v>161</v>
      </c>
      <c r="E4" s="10">
        <f t="shared" si="0"/>
        <v>2246</v>
      </c>
      <c r="F4" s="11">
        <v>71456</v>
      </c>
      <c r="G4" s="11">
        <v>206</v>
      </c>
      <c r="H4" s="10">
        <v>1300</v>
      </c>
      <c r="I4" s="11">
        <v>763</v>
      </c>
    </row>
    <row r="5" spans="1:9" ht="25.2" x14ac:dyDescent="0.25">
      <c r="A5" s="16"/>
      <c r="B5" s="12" t="s">
        <v>8</v>
      </c>
      <c r="C5" s="13">
        <f>C2+C3+C4</f>
        <v>14469</v>
      </c>
      <c r="D5" s="13">
        <f>SUM(D2:D4)</f>
        <v>710</v>
      </c>
      <c r="E5" s="12">
        <f>SUM(E2:E4)</f>
        <v>13759</v>
      </c>
      <c r="F5" s="13">
        <v>73367</v>
      </c>
      <c r="G5" s="13">
        <v>206</v>
      </c>
      <c r="H5" s="12">
        <v>1300</v>
      </c>
      <c r="I5" s="13">
        <v>763</v>
      </c>
    </row>
    <row r="6" spans="1:9" ht="25.2" x14ac:dyDescent="0.25">
      <c r="A6" s="14" t="s">
        <v>33</v>
      </c>
      <c r="B6" s="10" t="s">
        <v>0</v>
      </c>
      <c r="C6" s="11">
        <v>4709</v>
      </c>
      <c r="D6" s="11">
        <v>325</v>
      </c>
      <c r="E6" s="10">
        <f>C6-D6</f>
        <v>4384</v>
      </c>
      <c r="F6" s="11">
        <v>4980.8999999999996</v>
      </c>
      <c r="G6" s="11">
        <v>-4980.8999999999996</v>
      </c>
      <c r="H6" s="10">
        <v>1094</v>
      </c>
      <c r="I6" s="11">
        <v>730</v>
      </c>
    </row>
    <row r="7" spans="1:9" ht="25.2" x14ac:dyDescent="0.25">
      <c r="A7" s="15"/>
      <c r="B7" s="12" t="s">
        <v>1</v>
      </c>
      <c r="C7" s="13">
        <v>7353</v>
      </c>
      <c r="D7" s="13">
        <v>224</v>
      </c>
      <c r="E7" s="12">
        <f t="shared" ref="E7:E8" si="1">C7-D7</f>
        <v>7129</v>
      </c>
      <c r="F7" s="13">
        <v>4980.8999999999996</v>
      </c>
      <c r="G7" s="12">
        <v>-4980.8999999999996</v>
      </c>
      <c r="H7" s="12">
        <v>1291</v>
      </c>
      <c r="I7" s="13">
        <v>733</v>
      </c>
    </row>
    <row r="8" spans="1:9" ht="25.2" x14ac:dyDescent="0.25">
      <c r="A8" s="15"/>
      <c r="B8" s="10" t="s">
        <v>2</v>
      </c>
      <c r="C8" s="11">
        <v>2407</v>
      </c>
      <c r="D8" s="11">
        <v>161</v>
      </c>
      <c r="E8" s="10">
        <f t="shared" si="1"/>
        <v>2246</v>
      </c>
      <c r="F8" s="11">
        <v>4980.8999999999996</v>
      </c>
      <c r="G8" s="11">
        <v>-4980.8999999999996</v>
      </c>
      <c r="H8" s="10">
        <v>1300</v>
      </c>
      <c r="I8" s="11">
        <v>763</v>
      </c>
    </row>
    <row r="9" spans="1:9" ht="25.2" x14ac:dyDescent="0.25">
      <c r="A9" s="16"/>
      <c r="B9" s="12" t="s">
        <v>8</v>
      </c>
      <c r="C9" s="13">
        <f>C6+C7+C8</f>
        <v>14469</v>
      </c>
      <c r="D9" s="13">
        <f>SUM(D6:D8)</f>
        <v>710</v>
      </c>
      <c r="E9" s="13">
        <f>SUM(E6:E8)</f>
        <v>13759</v>
      </c>
      <c r="F9" s="13">
        <v>4980.8999999999996</v>
      </c>
      <c r="G9" s="13">
        <v>-4980.8999999999996</v>
      </c>
      <c r="H9" s="12">
        <v>1300</v>
      </c>
      <c r="I9" s="13">
        <v>763</v>
      </c>
    </row>
  </sheetData>
  <mergeCells count="2">
    <mergeCell ref="A2:A5"/>
    <mergeCell ref="A6:A9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1E81-82A9-4B1E-818E-A0189B8440F2}">
  <dimension ref="A1:N21"/>
  <sheetViews>
    <sheetView tabSelected="1" zoomScale="70" zoomScaleNormal="70" workbookViewId="0">
      <selection activeCell="B6" sqref="B6"/>
    </sheetView>
  </sheetViews>
  <sheetFormatPr defaultRowHeight="13.8" x14ac:dyDescent="0.25"/>
  <cols>
    <col min="1" max="1" width="10.44140625" customWidth="1"/>
    <col min="2" max="2" width="45.44140625" customWidth="1"/>
    <col min="3" max="3" width="45.6640625" customWidth="1"/>
    <col min="4" max="4" width="21.21875" customWidth="1"/>
    <col min="5" max="5" width="37.33203125" customWidth="1"/>
    <col min="6" max="6" width="38.21875" customWidth="1"/>
    <col min="7" max="7" width="22.88671875" customWidth="1"/>
    <col min="8" max="8" width="24.88671875" customWidth="1"/>
    <col min="9" max="9" width="18.21875" customWidth="1"/>
    <col min="10" max="10" width="18.5546875" customWidth="1"/>
    <col min="11" max="13" width="20.33203125" customWidth="1"/>
    <col min="14" max="14" width="54.6640625" customWidth="1"/>
  </cols>
  <sheetData>
    <row r="1" spans="1:14" ht="30" customHeight="1" x14ac:dyDescent="0.25">
      <c r="A1" s="3" t="s">
        <v>18</v>
      </c>
      <c r="B1" s="3" t="s">
        <v>22</v>
      </c>
      <c r="C1" s="2" t="s">
        <v>19</v>
      </c>
      <c r="D1" s="2" t="s">
        <v>12</v>
      </c>
      <c r="E1" s="2" t="s">
        <v>13</v>
      </c>
      <c r="F1" s="2" t="s">
        <v>16</v>
      </c>
      <c r="G1" s="2" t="s">
        <v>45</v>
      </c>
      <c r="H1" s="2" t="s">
        <v>35</v>
      </c>
      <c r="I1" s="2" t="s">
        <v>20</v>
      </c>
      <c r="J1" s="2" t="s">
        <v>17</v>
      </c>
      <c r="K1" s="2" t="s">
        <v>46</v>
      </c>
      <c r="L1" s="2" t="s">
        <v>47</v>
      </c>
      <c r="M1" s="2" t="s">
        <v>48</v>
      </c>
      <c r="N1" s="2" t="s">
        <v>39</v>
      </c>
    </row>
    <row r="2" spans="1:14" ht="30" customHeight="1" x14ac:dyDescent="0.25">
      <c r="A2" s="6" t="s">
        <v>25</v>
      </c>
      <c r="B2" s="2" t="s">
        <v>23</v>
      </c>
      <c r="C2" s="2" t="s">
        <v>24</v>
      </c>
      <c r="D2" s="2" t="s">
        <v>11</v>
      </c>
      <c r="E2" s="2" t="s">
        <v>21</v>
      </c>
      <c r="F2" s="2" t="s">
        <v>15</v>
      </c>
      <c r="G2" s="2">
        <v>0.95</v>
      </c>
      <c r="H2" s="2" t="s">
        <v>36</v>
      </c>
      <c r="I2" s="4">
        <v>0.89439999999999997</v>
      </c>
      <c r="J2" s="4">
        <v>0.78149999999999997</v>
      </c>
      <c r="K2" s="4">
        <v>0.73199999999999998</v>
      </c>
      <c r="L2" s="4">
        <v>0.76649999999999996</v>
      </c>
      <c r="M2" s="4">
        <v>0.85429999999999995</v>
      </c>
      <c r="N2" s="1"/>
    </row>
    <row r="3" spans="1:14" ht="30" customHeight="1" x14ac:dyDescent="0.25">
      <c r="A3" s="6" t="s">
        <v>26</v>
      </c>
      <c r="B3" s="2" t="s">
        <v>23</v>
      </c>
      <c r="C3" s="2" t="s">
        <v>24</v>
      </c>
      <c r="D3" s="2" t="s">
        <v>11</v>
      </c>
      <c r="E3" s="2" t="s">
        <v>14</v>
      </c>
      <c r="F3" s="2" t="s">
        <v>15</v>
      </c>
      <c r="G3" s="2">
        <v>0.98</v>
      </c>
      <c r="H3" s="2" t="s">
        <v>36</v>
      </c>
      <c r="I3" s="4">
        <v>0.90910000000000002</v>
      </c>
      <c r="J3" s="4">
        <v>0.78400000000000003</v>
      </c>
      <c r="K3" s="4">
        <v>0.75070000000000003</v>
      </c>
      <c r="L3" s="4">
        <v>0.74460000000000004</v>
      </c>
      <c r="M3" s="4">
        <v>0.85029999999999994</v>
      </c>
      <c r="N3" s="4" t="s">
        <v>40</v>
      </c>
    </row>
    <row r="4" spans="1:14" s="22" customFormat="1" ht="30" customHeight="1" x14ac:dyDescent="0.25">
      <c r="A4" s="20" t="s">
        <v>26</v>
      </c>
      <c r="B4" s="21" t="s">
        <v>23</v>
      </c>
      <c r="C4" s="21" t="s">
        <v>24</v>
      </c>
      <c r="D4" s="21" t="s">
        <v>11</v>
      </c>
      <c r="E4" s="21" t="s">
        <v>14</v>
      </c>
      <c r="F4" s="21" t="s">
        <v>15</v>
      </c>
      <c r="G4" s="21">
        <v>0.98</v>
      </c>
      <c r="H4" s="21" t="s">
        <v>37</v>
      </c>
      <c r="I4" s="19">
        <v>0.92530000000000001</v>
      </c>
      <c r="J4" s="19">
        <v>0.79379999999999995</v>
      </c>
      <c r="K4" s="19">
        <v>0.7581</v>
      </c>
      <c r="L4" s="19">
        <v>0.75339999999999996</v>
      </c>
      <c r="M4" s="19">
        <v>0.86219999999999997</v>
      </c>
      <c r="N4" s="21" t="s">
        <v>50</v>
      </c>
    </row>
    <row r="5" spans="1:14" ht="30" customHeight="1" x14ac:dyDescent="0.25">
      <c r="A5" s="6" t="s">
        <v>27</v>
      </c>
      <c r="B5" s="2" t="s">
        <v>33</v>
      </c>
      <c r="C5" s="2" t="s">
        <v>24</v>
      </c>
      <c r="D5" s="2" t="s">
        <v>11</v>
      </c>
      <c r="E5" s="2" t="s">
        <v>14</v>
      </c>
      <c r="F5" s="2" t="s">
        <v>15</v>
      </c>
      <c r="G5" s="2">
        <v>0.95</v>
      </c>
      <c r="H5" s="2" t="s">
        <v>37</v>
      </c>
      <c r="I5" s="18">
        <v>0.88280000000000003</v>
      </c>
      <c r="J5" s="18">
        <v>0.77390000000000003</v>
      </c>
      <c r="K5" s="4">
        <v>0.74709999999999999</v>
      </c>
      <c r="L5" s="4">
        <v>0.76590000000000003</v>
      </c>
      <c r="M5" s="4">
        <v>0.81499999999999995</v>
      </c>
      <c r="N5" s="4" t="s">
        <v>41</v>
      </c>
    </row>
    <row r="6" spans="1:14" ht="30" customHeight="1" x14ac:dyDescent="0.25">
      <c r="A6" s="6" t="s">
        <v>30</v>
      </c>
      <c r="B6" s="2" t="s">
        <v>28</v>
      </c>
      <c r="C6" s="2" t="s">
        <v>24</v>
      </c>
      <c r="D6" s="2" t="s">
        <v>11</v>
      </c>
      <c r="E6" s="2" t="s">
        <v>14</v>
      </c>
      <c r="F6" s="2" t="s">
        <v>15</v>
      </c>
      <c r="G6" s="2">
        <v>0.95</v>
      </c>
      <c r="H6" s="2" t="s">
        <v>37</v>
      </c>
      <c r="I6" s="17">
        <v>0.91300000000000003</v>
      </c>
      <c r="J6" s="17">
        <v>0.79490000000000005</v>
      </c>
      <c r="K6" s="4"/>
      <c r="L6" s="4"/>
      <c r="M6" s="4"/>
      <c r="N6" s="4" t="s">
        <v>42</v>
      </c>
    </row>
    <row r="7" spans="1:14" ht="30" customHeight="1" x14ac:dyDescent="0.25">
      <c r="A7" s="6" t="s">
        <v>34</v>
      </c>
      <c r="B7" s="2" t="s">
        <v>28</v>
      </c>
      <c r="C7" s="2" t="s">
        <v>24</v>
      </c>
      <c r="D7" s="2" t="s">
        <v>11</v>
      </c>
      <c r="E7" s="2" t="s">
        <v>14</v>
      </c>
      <c r="F7" s="2" t="s">
        <v>38</v>
      </c>
      <c r="G7" s="2">
        <v>0.95</v>
      </c>
      <c r="H7" s="2" t="s">
        <v>37</v>
      </c>
      <c r="I7" s="18">
        <v>0.94350000000000001</v>
      </c>
      <c r="J7" s="18">
        <v>0.76929999999999998</v>
      </c>
      <c r="K7" s="4" t="s">
        <v>49</v>
      </c>
      <c r="L7" s="4" t="s">
        <v>49</v>
      </c>
      <c r="M7" s="4" t="s">
        <v>49</v>
      </c>
      <c r="N7" s="4" t="s">
        <v>43</v>
      </c>
    </row>
    <row r="8" spans="1:14" ht="30" customHeight="1" x14ac:dyDescent="0.25">
      <c r="A8" s="6" t="s">
        <v>44</v>
      </c>
      <c r="B8" s="2" t="s">
        <v>28</v>
      </c>
      <c r="C8" s="2" t="s">
        <v>24</v>
      </c>
      <c r="D8" s="2" t="s">
        <v>11</v>
      </c>
      <c r="E8" s="2" t="s">
        <v>29</v>
      </c>
      <c r="F8" s="2" t="s">
        <v>15</v>
      </c>
      <c r="G8" s="2">
        <v>0.95</v>
      </c>
      <c r="H8" s="2" t="s">
        <v>37</v>
      </c>
      <c r="I8" s="5"/>
      <c r="J8" s="5"/>
      <c r="K8" s="5"/>
      <c r="L8" s="5"/>
      <c r="M8" s="5"/>
      <c r="N8" s="1"/>
    </row>
    <row r="9" spans="1:14" ht="30" customHeight="1" x14ac:dyDescent="0.25">
      <c r="A9" s="7"/>
      <c r="B9" s="2"/>
      <c r="C9" s="2"/>
      <c r="D9" s="2"/>
      <c r="E9" s="2"/>
      <c r="F9" s="2"/>
      <c r="G9" s="2"/>
      <c r="H9" s="2"/>
      <c r="I9" s="4"/>
      <c r="J9" s="4"/>
      <c r="K9" s="4"/>
      <c r="L9" s="4"/>
      <c r="M9" s="4"/>
      <c r="N9" s="1"/>
    </row>
    <row r="10" spans="1:14" ht="30" customHeight="1" x14ac:dyDescent="0.25">
      <c r="A10" s="7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  <c r="N10" s="1"/>
    </row>
    <row r="11" spans="1:14" ht="30" customHeight="1" x14ac:dyDescent="0.25">
      <c r="A11" s="7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  <c r="N11" s="1"/>
    </row>
    <row r="12" spans="1:14" ht="30" customHeight="1" x14ac:dyDescent="0.25">
      <c r="A12" s="7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  <c r="N12" s="1"/>
    </row>
    <row r="13" spans="1:14" ht="30" customHeight="1" x14ac:dyDescent="0.25">
      <c r="A13" s="7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  <c r="N13" s="1"/>
    </row>
    <row r="14" spans="1:14" ht="30" customHeight="1" x14ac:dyDescent="0.25">
      <c r="A14" s="7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  <c r="N14" s="1"/>
    </row>
    <row r="15" spans="1:14" ht="30" customHeight="1" x14ac:dyDescent="0.25">
      <c r="A15" s="7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  <c r="N15" s="1"/>
    </row>
    <row r="16" spans="1:14" ht="30" customHeight="1" x14ac:dyDescent="0.25">
      <c r="A16" s="7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  <c r="N16" s="1"/>
    </row>
    <row r="17" spans="1:14" ht="30" customHeight="1" x14ac:dyDescent="0.25">
      <c r="A17" s="7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  <c r="N17" s="1"/>
    </row>
    <row r="18" spans="1:14" ht="30" customHeight="1" x14ac:dyDescent="0.25">
      <c r="A18" s="7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  <c r="N18" s="1"/>
    </row>
    <row r="19" spans="1:14" ht="30" customHeight="1" x14ac:dyDescent="0.25">
      <c r="A19" s="7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  <c r="N19" s="1"/>
    </row>
    <row r="20" spans="1:14" ht="30" customHeight="1" x14ac:dyDescent="0.25">
      <c r="A20" s="7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  <c r="N20" s="1"/>
    </row>
    <row r="21" spans="1:14" ht="30" customHeight="1" x14ac:dyDescent="0.25">
      <c r="A21" s="7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  <c r="N21" s="1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continuum</vt:lpstr>
      <vt:lpstr>实验记录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Stave Eric</dc:creator>
  <cp:lastModifiedBy>Stave Eric</cp:lastModifiedBy>
  <dcterms:created xsi:type="dcterms:W3CDTF">2020-06-19T16:02:28Z</dcterms:created>
  <dcterms:modified xsi:type="dcterms:W3CDTF">2020-06-22T03:38:12Z</dcterms:modified>
</cp:coreProperties>
</file>